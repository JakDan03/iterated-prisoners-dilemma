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qb4co\Desktop\research do filmów\dylemat więźnia w wersji kwantowej\2 z 3\"/>
    </mc:Choice>
  </mc:AlternateContent>
  <xr:revisionPtr revIDLastSave="0" documentId="13_ncr:1_{AD100287-F4F0-44EA-9408-8AE89501EE23}" xr6:coauthVersionLast="47" xr6:coauthVersionMax="47" xr10:uidLastSave="{00000000-0000-0000-0000-000000000000}"/>
  <bookViews>
    <workbookView xWindow="3960" yWindow="3540" windowWidth="17280" windowHeight="9420" xr2:uid="{00000000-000D-0000-FFFF-FFFF00000000}"/>
  </bookViews>
  <sheets>
    <sheet name="Opis" sheetId="2" r:id="rId1"/>
    <sheet name="Które jakie" sheetId="3" r:id="rId2"/>
    <sheet name="Wcześniej" sheetId="4" r:id="rId3"/>
    <sheet name="Wyniki" sheetId="1" r:id="rId4"/>
    <sheet name="Wyglą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5" l="1"/>
  <c r="F25" i="5"/>
  <c r="I24" i="5"/>
  <c r="F24" i="5"/>
  <c r="I23" i="5"/>
  <c r="F23" i="5"/>
  <c r="I22" i="5"/>
  <c r="F22" i="5"/>
  <c r="I21" i="5"/>
  <c r="F21" i="5"/>
  <c r="I20" i="5"/>
  <c r="F20" i="5"/>
  <c r="I19" i="5"/>
  <c r="F19" i="5"/>
  <c r="I18" i="5"/>
  <c r="F18" i="5"/>
  <c r="I17" i="5"/>
  <c r="F17" i="5"/>
  <c r="I16" i="5"/>
  <c r="F16" i="5"/>
  <c r="I15" i="5"/>
  <c r="F15" i="5"/>
  <c r="I14" i="5"/>
  <c r="F14" i="5"/>
  <c r="I13" i="5"/>
  <c r="F13" i="5"/>
  <c r="I12" i="5"/>
  <c r="F12" i="5"/>
  <c r="I11" i="5"/>
  <c r="F11" i="5"/>
  <c r="I10" i="5"/>
  <c r="F10" i="5"/>
  <c r="I9" i="5"/>
  <c r="F9" i="5"/>
  <c r="I8" i="5"/>
  <c r="F8" i="5"/>
  <c r="I7" i="5"/>
  <c r="F7" i="5"/>
  <c r="I6" i="5"/>
  <c r="F6" i="5"/>
  <c r="I5" i="5"/>
  <c r="F5" i="5"/>
  <c r="I4" i="5"/>
  <c r="F4" i="5"/>
  <c r="I3" i="5"/>
  <c r="F3" i="5"/>
  <c r="F3" i="1"/>
  <c r="G3" i="1"/>
  <c r="H3" i="1"/>
  <c r="F4" i="1"/>
  <c r="G4" i="1"/>
  <c r="H4" i="1" s="1"/>
  <c r="F5" i="1"/>
  <c r="G5" i="1"/>
  <c r="H5" i="1" s="1"/>
  <c r="F6" i="1"/>
  <c r="G6" i="1"/>
  <c r="H6" i="1" s="1"/>
  <c r="F7" i="1"/>
  <c r="G7" i="1"/>
  <c r="H7" i="1"/>
  <c r="F8" i="1"/>
  <c r="G8" i="1"/>
  <c r="H8" i="1" s="1"/>
  <c r="F9" i="1"/>
  <c r="G9" i="1"/>
  <c r="H9" i="1" s="1"/>
  <c r="F10" i="1"/>
  <c r="G10" i="1"/>
  <c r="H10" i="1" s="1"/>
  <c r="F11" i="1"/>
  <c r="G11" i="1"/>
  <c r="H11" i="1" s="1"/>
  <c r="F12" i="1"/>
  <c r="G12" i="1"/>
  <c r="H12" i="1" s="1"/>
  <c r="F13" i="1"/>
  <c r="G13" i="1"/>
  <c r="H13" i="1" s="1"/>
  <c r="F14" i="1"/>
  <c r="G14" i="1"/>
  <c r="H14" i="1" s="1"/>
  <c r="F15" i="1"/>
  <c r="G15" i="1"/>
  <c r="H15" i="1" s="1"/>
  <c r="F16" i="1"/>
  <c r="G16" i="1"/>
  <c r="H16" i="1" s="1"/>
  <c r="F17" i="1"/>
  <c r="G17" i="1"/>
  <c r="H17" i="1" s="1"/>
  <c r="F18" i="1"/>
  <c r="G18" i="1"/>
  <c r="H18" i="1" s="1"/>
  <c r="F19" i="1"/>
  <c r="G19" i="1"/>
  <c r="H19" i="1" s="1"/>
  <c r="F20" i="1"/>
  <c r="G20" i="1"/>
  <c r="H20" i="1" s="1"/>
  <c r="F21" i="1"/>
  <c r="G21" i="1"/>
  <c r="H21" i="1" s="1"/>
  <c r="F22" i="1"/>
  <c r="G22" i="1"/>
  <c r="H22" i="1" s="1"/>
  <c r="F23" i="1"/>
  <c r="G23" i="1"/>
  <c r="H23" i="1" s="1"/>
  <c r="F24" i="1"/>
  <c r="G24" i="1"/>
  <c r="H24" i="1" s="1"/>
  <c r="H2" i="1"/>
  <c r="G2" i="1"/>
  <c r="F2" i="1"/>
  <c r="J3" i="1" l="1"/>
  <c r="K3" i="1"/>
  <c r="L3" i="1"/>
  <c r="M3" i="1"/>
  <c r="N3" i="1"/>
  <c r="J4" i="1"/>
  <c r="K4" i="1"/>
  <c r="L4" i="1"/>
  <c r="M4" i="1"/>
  <c r="N4" i="1"/>
  <c r="J5" i="1"/>
  <c r="K5" i="1"/>
  <c r="L5" i="1"/>
  <c r="M5" i="1"/>
  <c r="N5" i="1"/>
  <c r="J6" i="1"/>
  <c r="K6" i="1"/>
  <c r="L6" i="1"/>
  <c r="M6" i="1"/>
  <c r="N6" i="1"/>
  <c r="J7" i="1"/>
  <c r="K7" i="1"/>
  <c r="L7" i="1"/>
  <c r="M7" i="1"/>
  <c r="N7" i="1"/>
  <c r="J8" i="1"/>
  <c r="K8" i="1"/>
  <c r="L8" i="1"/>
  <c r="M8" i="1"/>
  <c r="N8" i="1"/>
  <c r="J9" i="1"/>
  <c r="K9" i="1"/>
  <c r="L9" i="1"/>
  <c r="M9" i="1"/>
  <c r="N9" i="1"/>
  <c r="J10" i="1"/>
  <c r="K10" i="1"/>
  <c r="L10" i="1"/>
  <c r="M10" i="1"/>
  <c r="N10" i="1"/>
  <c r="J11" i="1"/>
  <c r="K11" i="1"/>
  <c r="L11" i="1"/>
  <c r="M11" i="1"/>
  <c r="N11" i="1"/>
  <c r="J12" i="1"/>
  <c r="K12" i="1"/>
  <c r="L12" i="1"/>
  <c r="M12" i="1"/>
  <c r="N12" i="1"/>
  <c r="J13" i="1"/>
  <c r="K13" i="1"/>
  <c r="L13" i="1"/>
  <c r="M13" i="1"/>
  <c r="N13" i="1"/>
  <c r="J14" i="1"/>
  <c r="K14" i="1"/>
  <c r="L14" i="1"/>
  <c r="M14" i="1"/>
  <c r="N14" i="1"/>
  <c r="J15" i="1"/>
  <c r="K15" i="1"/>
  <c r="L15" i="1"/>
  <c r="M15" i="1"/>
  <c r="N15" i="1"/>
  <c r="J16" i="1"/>
  <c r="K16" i="1"/>
  <c r="L16" i="1"/>
  <c r="M16" i="1"/>
  <c r="N16" i="1"/>
  <c r="J17" i="1"/>
  <c r="K17" i="1"/>
  <c r="L17" i="1"/>
  <c r="M17" i="1"/>
  <c r="N17" i="1"/>
  <c r="J18" i="1"/>
  <c r="K18" i="1"/>
  <c r="L18" i="1"/>
  <c r="M18" i="1"/>
  <c r="N18" i="1"/>
  <c r="J19" i="1"/>
  <c r="K19" i="1"/>
  <c r="L19" i="1"/>
  <c r="M19" i="1"/>
  <c r="N19" i="1"/>
  <c r="J20" i="1"/>
  <c r="K20" i="1"/>
  <c r="L20" i="1"/>
  <c r="M20" i="1"/>
  <c r="N20" i="1"/>
  <c r="J21" i="1"/>
  <c r="K21" i="1"/>
  <c r="L21" i="1"/>
  <c r="M21" i="1"/>
  <c r="N21" i="1"/>
  <c r="J22" i="1"/>
  <c r="K22" i="1"/>
  <c r="L22" i="1"/>
  <c r="M22" i="1"/>
  <c r="N22" i="1"/>
  <c r="J23" i="1"/>
  <c r="K23" i="1"/>
  <c r="L23" i="1"/>
  <c r="M23" i="1"/>
  <c r="N23" i="1"/>
  <c r="J24" i="1"/>
  <c r="K24" i="1"/>
  <c r="L24" i="1"/>
  <c r="M24" i="1"/>
  <c r="N24" i="1"/>
  <c r="N2" i="1"/>
  <c r="M2" i="1"/>
  <c r="L2" i="1"/>
  <c r="K2" i="1"/>
  <c r="J2" i="1"/>
  <c r="C28" i="3"/>
  <c r="D28" i="3"/>
  <c r="E28" i="3"/>
  <c r="F28" i="3"/>
  <c r="B28" i="3"/>
  <c r="F27" i="3"/>
  <c r="E27" i="3"/>
  <c r="D27" i="3"/>
  <c r="C27" i="3"/>
  <c r="B27" i="3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" i="1"/>
  <c r="E2" i="1" s="1"/>
  <c r="L27" i="1" l="1"/>
  <c r="L28" i="1" s="1"/>
  <c r="K27" i="1"/>
  <c r="K28" i="1" s="1"/>
  <c r="M27" i="1"/>
  <c r="M28" i="1" s="1"/>
  <c r="N27" i="1"/>
  <c r="N28" i="1" s="1"/>
  <c r="J27" i="1"/>
  <c r="J28" i="1" s="1"/>
</calcChain>
</file>

<file path=xl/sharedStrings.xml><?xml version="1.0" encoding="utf-8"?>
<sst xmlns="http://schemas.openxmlformats.org/spreadsheetml/2006/main" count="137" uniqueCount="47">
  <si>
    <t>Miejsce</t>
  </si>
  <si>
    <t>Strategia</t>
  </si>
  <si>
    <t>Punkty</t>
  </si>
  <si>
    <t>Zawsze Zdrada</t>
  </si>
  <si>
    <t>Odsiew Frajerów</t>
  </si>
  <si>
    <t>Foch Forever</t>
  </si>
  <si>
    <t>Sprawdź kanał autora (Paradoxalnie)</t>
  </si>
  <si>
    <t>Przebaczający Do Czasu</t>
  </si>
  <si>
    <t>Orzechowa Szansa</t>
  </si>
  <si>
    <t>Wiara w Ludzkość</t>
  </si>
  <si>
    <t>Jedikarix</t>
  </si>
  <si>
    <t>Wet Za Wet</t>
  </si>
  <si>
    <t>Kuba Subcio</t>
  </si>
  <si>
    <t>Trynidad_Tobago</t>
  </si>
  <si>
    <t>Dwulicowiec</t>
  </si>
  <si>
    <t>ShiZ</t>
  </si>
  <si>
    <t>Nie Lubi Przegrywać</t>
  </si>
  <si>
    <t>Krukindzek</t>
  </si>
  <si>
    <t>Metoda Kubańska</t>
  </si>
  <si>
    <t>Tutaj Miała Być Sieć Neuronowa</t>
  </si>
  <si>
    <t>I Like 3's</t>
  </si>
  <si>
    <t>Fifty-Fifty</t>
  </si>
  <si>
    <t>Pozytywnie Nastawieni Ale Nieufni Gracze</t>
  </si>
  <si>
    <t>Zawsze Lojalność</t>
  </si>
  <si>
    <t>Pruski Kwadrat</t>
  </si>
  <si>
    <t>n</t>
  </si>
  <si>
    <t>% maksimum</t>
  </si>
  <si>
    <t>Czy_wredna</t>
  </si>
  <si>
    <t>Czy_przebacza</t>
  </si>
  <si>
    <t>DarwoX</t>
  </si>
  <si>
    <t>Czy_reagująca</t>
  </si>
  <si>
    <t>Wredne</t>
  </si>
  <si>
    <t>Legenda</t>
  </si>
  <si>
    <t>Wredna - może zdradzić jako pierwsza</t>
  </si>
  <si>
    <t>Reagująca - może zareagować na to co robi przeciwnik</t>
  </si>
  <si>
    <t>Czy_losowa</t>
  </si>
  <si>
    <t>Losowa - posiada jakikolwiek element losowości (nie na 100% przewidywalna)</t>
  </si>
  <si>
    <t>Przebaczająca - jest reagująca i jest w stanie współpracować po jednokrotnej zdradzie</t>
  </si>
  <si>
    <t>Reagujące</t>
  </si>
  <si>
    <t>Przebaczające</t>
  </si>
  <si>
    <t>Losowe</t>
  </si>
  <si>
    <t>Czy_odgrywa_się</t>
  </si>
  <si>
    <t>Odgrywające się</t>
  </si>
  <si>
    <t>Odgrywająca się - reagująca i może odegrać się za zdradzanie (prędzej czy później)</t>
  </si>
  <si>
    <t>Trzecia wersja turnieju - krótsze rozgrywki (alfa = 0,6, normalna macierz wypłat)</t>
  </si>
  <si>
    <t>Zmiana miejsca</t>
  </si>
  <si>
    <t>Zmiana punktów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</si>
</sst>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Verdana"/>
      <family val="2"/>
      <charset val="238"/>
    </font>
    <font>
      <sz val="10"/>
      <color rgb="FFFFFFFF"/>
      <name val="Verdana"/>
      <family val="2"/>
      <charset val="238"/>
    </font>
    <font>
      <sz val="10"/>
      <color rgb="FF000000"/>
      <name val="Calibri"/>
      <family val="2"/>
    </font>
    <font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3" fontId="0" fillId="0" borderId="0" xfId="0" applyNumberFormat="1"/>
    <xf numFmtId="0" fontId="3" fillId="2" borderId="0" xfId="0" applyFont="1" applyFill="1"/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left"/>
    </xf>
    <xf numFmtId="3" fontId="5" fillId="3" borderId="10" xfId="0" applyNumberFormat="1" applyFont="1" applyFill="1" applyBorder="1" applyAlignment="1">
      <alignment horizontal="center"/>
    </xf>
    <xf numFmtId="164" fontId="5" fillId="3" borderId="11" xfId="0" applyNumberFormat="1" applyFont="1" applyFill="1" applyBorder="1" applyAlignment="1">
      <alignment horizontal="right"/>
    </xf>
    <xf numFmtId="164" fontId="6" fillId="3" borderId="9" xfId="0" applyNumberFormat="1" applyFont="1" applyFill="1" applyBorder="1" applyAlignment="1">
      <alignment horizontal="center"/>
    </xf>
    <xf numFmtId="3" fontId="5" fillId="3" borderId="9" xfId="0" applyNumberFormat="1" applyFont="1" applyFill="1" applyBorder="1" applyAlignment="1">
      <alignment horizontal="center"/>
    </xf>
    <xf numFmtId="3" fontId="5" fillId="3" borderId="0" xfId="0" applyNumberFormat="1" applyFont="1" applyFill="1" applyAlignment="1">
      <alignment horizontal="right"/>
    </xf>
    <xf numFmtId="3" fontId="7" fillId="3" borderId="0" xfId="0" applyNumberFormat="1" applyFont="1" applyFill="1"/>
    <xf numFmtId="0" fontId="4" fillId="3" borderId="7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2">
    <cellStyle name="Normalny" xfId="0" builtinId="0"/>
    <cellStyle name="Procentowy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2BF41-7A40-4EBE-AB2F-EB458524AADF}">
  <dimension ref="A1:B9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44</v>
      </c>
    </row>
    <row r="2" spans="1:2" x14ac:dyDescent="0.3">
      <c r="A2" t="s">
        <v>25</v>
      </c>
      <c r="B2">
        <v>10000</v>
      </c>
    </row>
    <row r="4" spans="1:2" x14ac:dyDescent="0.3">
      <c r="A4" t="s">
        <v>32</v>
      </c>
    </row>
    <row r="5" spans="1:2" x14ac:dyDescent="0.3">
      <c r="A5" t="s">
        <v>33</v>
      </c>
    </row>
    <row r="6" spans="1:2" x14ac:dyDescent="0.3">
      <c r="A6" t="s">
        <v>34</v>
      </c>
    </row>
    <row r="7" spans="1:2" x14ac:dyDescent="0.3">
      <c r="A7" t="s">
        <v>37</v>
      </c>
    </row>
    <row r="8" spans="1:2" x14ac:dyDescent="0.3">
      <c r="A8" t="s">
        <v>43</v>
      </c>
    </row>
    <row r="9" spans="1:2" x14ac:dyDescent="0.3">
      <c r="A9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4301-51F9-4A5A-9005-5E0160AC0A52}">
  <dimension ref="A1:F28"/>
  <sheetViews>
    <sheetView topLeftCell="A16" workbookViewId="0">
      <selection activeCell="G30" sqref="G30"/>
    </sheetView>
  </sheetViews>
  <sheetFormatPr defaultRowHeight="14.4" x14ac:dyDescent="0.3"/>
  <cols>
    <col min="1" max="1" width="35.77734375" bestFit="1" customWidth="1"/>
    <col min="2" max="2" width="11.21875" bestFit="1" customWidth="1"/>
    <col min="3" max="3" width="13.21875" bestFit="1" customWidth="1"/>
    <col min="4" max="4" width="13.33203125" bestFit="1" customWidth="1"/>
    <col min="5" max="5" width="15.5546875" bestFit="1" customWidth="1"/>
    <col min="6" max="6" width="10.77734375" bestFit="1" customWidth="1"/>
  </cols>
  <sheetData>
    <row r="1" spans="1:6" x14ac:dyDescent="0.3">
      <c r="A1" s="1" t="s">
        <v>1</v>
      </c>
      <c r="B1" s="4" t="s">
        <v>27</v>
      </c>
      <c r="C1" s="4" t="s">
        <v>30</v>
      </c>
      <c r="D1" s="4" t="s">
        <v>28</v>
      </c>
      <c r="E1" s="4" t="s">
        <v>41</v>
      </c>
      <c r="F1" s="4" t="s">
        <v>35</v>
      </c>
    </row>
    <row r="2" spans="1:6" x14ac:dyDescent="0.3">
      <c r="A2" t="s">
        <v>3</v>
      </c>
      <c r="B2">
        <v>1</v>
      </c>
      <c r="C2">
        <v>0</v>
      </c>
      <c r="D2">
        <v>0</v>
      </c>
      <c r="E2">
        <v>0</v>
      </c>
      <c r="F2">
        <v>0</v>
      </c>
    </row>
    <row r="3" spans="1:6" x14ac:dyDescent="0.3">
      <c r="A3" t="s">
        <v>4</v>
      </c>
      <c r="B3">
        <v>1</v>
      </c>
      <c r="C3">
        <v>1</v>
      </c>
      <c r="D3">
        <v>1</v>
      </c>
      <c r="E3">
        <v>1</v>
      </c>
      <c r="F3">
        <v>0</v>
      </c>
    </row>
    <row r="4" spans="1:6" x14ac:dyDescent="0.3">
      <c r="A4" t="s">
        <v>5</v>
      </c>
      <c r="B4">
        <v>0</v>
      </c>
      <c r="C4">
        <v>1</v>
      </c>
      <c r="D4">
        <v>0</v>
      </c>
      <c r="E4">
        <v>1</v>
      </c>
      <c r="F4">
        <v>0</v>
      </c>
    </row>
    <row r="5" spans="1:6" x14ac:dyDescent="0.3">
      <c r="A5" t="s">
        <v>6</v>
      </c>
      <c r="B5">
        <v>0</v>
      </c>
      <c r="C5">
        <v>1</v>
      </c>
      <c r="D5">
        <v>1</v>
      </c>
      <c r="E5">
        <v>1</v>
      </c>
      <c r="F5">
        <v>0</v>
      </c>
    </row>
    <row r="6" spans="1:6" x14ac:dyDescent="0.3">
      <c r="A6" t="s">
        <v>7</v>
      </c>
      <c r="B6">
        <v>0</v>
      </c>
      <c r="C6">
        <v>1</v>
      </c>
      <c r="D6">
        <v>1</v>
      </c>
      <c r="E6">
        <v>1</v>
      </c>
      <c r="F6">
        <v>0</v>
      </c>
    </row>
    <row r="7" spans="1:6" x14ac:dyDescent="0.3">
      <c r="A7" t="s">
        <v>8</v>
      </c>
      <c r="B7">
        <v>0</v>
      </c>
      <c r="C7">
        <v>1</v>
      </c>
      <c r="D7">
        <v>1</v>
      </c>
      <c r="E7">
        <v>1</v>
      </c>
      <c r="F7">
        <v>0</v>
      </c>
    </row>
    <row r="8" spans="1:6" x14ac:dyDescent="0.3">
      <c r="A8" t="s">
        <v>9</v>
      </c>
      <c r="B8">
        <v>0</v>
      </c>
      <c r="C8">
        <v>1</v>
      </c>
      <c r="D8">
        <v>1</v>
      </c>
      <c r="E8">
        <v>1</v>
      </c>
      <c r="F8">
        <v>1</v>
      </c>
    </row>
    <row r="9" spans="1:6" x14ac:dyDescent="0.3">
      <c r="A9" t="s">
        <v>10</v>
      </c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3">
      <c r="A10" t="s">
        <v>11</v>
      </c>
      <c r="B10">
        <v>0</v>
      </c>
      <c r="C10">
        <v>1</v>
      </c>
      <c r="D10">
        <v>1</v>
      </c>
      <c r="E10">
        <v>1</v>
      </c>
      <c r="F10">
        <v>0</v>
      </c>
    </row>
    <row r="11" spans="1:6" x14ac:dyDescent="0.3">
      <c r="A11" t="s">
        <v>12</v>
      </c>
      <c r="B11">
        <v>1</v>
      </c>
      <c r="C11">
        <v>1</v>
      </c>
      <c r="D11">
        <v>1</v>
      </c>
      <c r="E11">
        <v>1</v>
      </c>
      <c r="F11">
        <v>0</v>
      </c>
    </row>
    <row r="12" spans="1:6" x14ac:dyDescent="0.3">
      <c r="A12" t="s">
        <v>13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3">
      <c r="A13" t="s">
        <v>14</v>
      </c>
      <c r="B13">
        <v>1</v>
      </c>
      <c r="C13">
        <v>1</v>
      </c>
      <c r="D13">
        <v>1</v>
      </c>
      <c r="E13">
        <v>1</v>
      </c>
      <c r="F13">
        <v>0</v>
      </c>
    </row>
    <row r="14" spans="1:6" x14ac:dyDescent="0.3">
      <c r="A14" t="s">
        <v>15</v>
      </c>
      <c r="B14">
        <v>1</v>
      </c>
      <c r="C14">
        <v>1</v>
      </c>
      <c r="D14">
        <v>1</v>
      </c>
      <c r="E14">
        <v>1</v>
      </c>
      <c r="F14">
        <v>0</v>
      </c>
    </row>
    <row r="15" spans="1:6" x14ac:dyDescent="0.3">
      <c r="A15" t="s">
        <v>16</v>
      </c>
      <c r="B15">
        <v>1</v>
      </c>
      <c r="C15">
        <v>1</v>
      </c>
      <c r="D15">
        <v>1</v>
      </c>
      <c r="E15">
        <v>1</v>
      </c>
      <c r="F15">
        <v>0</v>
      </c>
    </row>
    <row r="16" spans="1:6" x14ac:dyDescent="0.3">
      <c r="A16" t="s">
        <v>17</v>
      </c>
      <c r="B16">
        <v>1</v>
      </c>
      <c r="C16">
        <v>1</v>
      </c>
      <c r="D16">
        <v>1</v>
      </c>
      <c r="E16">
        <v>1</v>
      </c>
      <c r="F16">
        <v>0</v>
      </c>
    </row>
    <row r="17" spans="1:6" x14ac:dyDescent="0.3">
      <c r="A17" t="s">
        <v>18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3">
      <c r="A18" t="s">
        <v>19</v>
      </c>
      <c r="B18">
        <v>1</v>
      </c>
      <c r="C18">
        <v>0</v>
      </c>
      <c r="D18">
        <v>0</v>
      </c>
      <c r="E18">
        <v>0</v>
      </c>
      <c r="F18">
        <v>0</v>
      </c>
    </row>
    <row r="19" spans="1:6" x14ac:dyDescent="0.3">
      <c r="A19" t="s">
        <v>20</v>
      </c>
      <c r="B19">
        <v>1</v>
      </c>
      <c r="C19">
        <v>1</v>
      </c>
      <c r="D19">
        <v>1</v>
      </c>
      <c r="E19">
        <v>0</v>
      </c>
      <c r="F19">
        <v>0</v>
      </c>
    </row>
    <row r="20" spans="1:6" x14ac:dyDescent="0.3">
      <c r="A20" t="s">
        <v>21</v>
      </c>
      <c r="B20">
        <v>1</v>
      </c>
      <c r="C20">
        <v>0</v>
      </c>
      <c r="D20">
        <v>0</v>
      </c>
      <c r="E20">
        <v>0</v>
      </c>
      <c r="F20">
        <v>1</v>
      </c>
    </row>
    <row r="21" spans="1:6" x14ac:dyDescent="0.3">
      <c r="A21" t="s">
        <v>29</v>
      </c>
      <c r="B21">
        <v>1</v>
      </c>
      <c r="C21">
        <v>0</v>
      </c>
      <c r="D21">
        <v>0</v>
      </c>
      <c r="E21">
        <v>0</v>
      </c>
      <c r="F21">
        <v>0</v>
      </c>
    </row>
    <row r="22" spans="1:6" x14ac:dyDescent="0.3">
      <c r="A22" t="s">
        <v>22</v>
      </c>
      <c r="B22">
        <v>0</v>
      </c>
      <c r="C22">
        <v>1</v>
      </c>
      <c r="D22">
        <v>1</v>
      </c>
      <c r="E22">
        <v>1</v>
      </c>
      <c r="F22">
        <v>1</v>
      </c>
    </row>
    <row r="23" spans="1:6" x14ac:dyDescent="0.3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">
      <c r="A24" t="s">
        <v>24</v>
      </c>
      <c r="B24">
        <v>1</v>
      </c>
      <c r="C24">
        <v>0</v>
      </c>
      <c r="D24">
        <v>0</v>
      </c>
      <c r="E24">
        <v>0</v>
      </c>
      <c r="F24">
        <v>0</v>
      </c>
    </row>
    <row r="26" spans="1:6" x14ac:dyDescent="0.3">
      <c r="B26" t="s">
        <v>31</v>
      </c>
      <c r="C26" t="s">
        <v>38</v>
      </c>
      <c r="D26" t="s">
        <v>39</v>
      </c>
      <c r="E26" t="s">
        <v>42</v>
      </c>
      <c r="F26" t="s">
        <v>40</v>
      </c>
    </row>
    <row r="27" spans="1:6" x14ac:dyDescent="0.3">
      <c r="B27">
        <f>SUM(B2:B24)</f>
        <v>15</v>
      </c>
      <c r="C27">
        <f t="shared" ref="C27:F27" si="0">SUM(C2:C24)</f>
        <v>17</v>
      </c>
      <c r="D27">
        <f t="shared" si="0"/>
        <v>16</v>
      </c>
      <c r="E27">
        <f t="shared" si="0"/>
        <v>16</v>
      </c>
      <c r="F27">
        <f t="shared" si="0"/>
        <v>6</v>
      </c>
    </row>
    <row r="28" spans="1:6" x14ac:dyDescent="0.3">
      <c r="B28" s="2">
        <f>B27/23</f>
        <v>0.65217391304347827</v>
      </c>
      <c r="C28" s="2">
        <f t="shared" ref="C28:F28" si="1">C27/23</f>
        <v>0.73913043478260865</v>
      </c>
      <c r="D28" s="2">
        <f t="shared" si="1"/>
        <v>0.69565217391304346</v>
      </c>
      <c r="E28" s="2">
        <f t="shared" si="1"/>
        <v>0.69565217391304346</v>
      </c>
      <c r="F28" s="2">
        <f t="shared" si="1"/>
        <v>0.2608695652173913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0542F-1E1C-4E12-A914-165D8A408AF5}">
  <dimension ref="A1:C24"/>
  <sheetViews>
    <sheetView workbookViewId="0">
      <selection activeCell="B9" sqref="B9"/>
    </sheetView>
  </sheetViews>
  <sheetFormatPr defaultRowHeight="14.4" x14ac:dyDescent="0.3"/>
  <cols>
    <col min="2" max="2" width="35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5</v>
      </c>
      <c r="C2">
        <v>165716</v>
      </c>
    </row>
    <row r="3" spans="1:3" x14ac:dyDescent="0.3">
      <c r="A3">
        <v>2</v>
      </c>
      <c r="B3" t="s">
        <v>3</v>
      </c>
      <c r="C3">
        <v>164585</v>
      </c>
    </row>
    <row r="4" spans="1:3" x14ac:dyDescent="0.3">
      <c r="A4">
        <v>3</v>
      </c>
      <c r="B4" t="s">
        <v>4</v>
      </c>
      <c r="C4">
        <v>163418</v>
      </c>
    </row>
    <row r="5" spans="1:3" x14ac:dyDescent="0.3">
      <c r="A5">
        <v>4</v>
      </c>
      <c r="B5" t="s">
        <v>6</v>
      </c>
      <c r="C5">
        <v>159324</v>
      </c>
    </row>
    <row r="6" spans="1:3" x14ac:dyDescent="0.3">
      <c r="A6">
        <v>5</v>
      </c>
      <c r="B6" t="s">
        <v>7</v>
      </c>
      <c r="C6">
        <v>149039</v>
      </c>
    </row>
    <row r="7" spans="1:3" x14ac:dyDescent="0.3">
      <c r="A7">
        <v>6</v>
      </c>
      <c r="B7" t="s">
        <v>8</v>
      </c>
      <c r="C7">
        <v>146077</v>
      </c>
    </row>
    <row r="8" spans="1:3" x14ac:dyDescent="0.3">
      <c r="A8">
        <v>7</v>
      </c>
      <c r="B8" t="s">
        <v>9</v>
      </c>
      <c r="C8">
        <v>138666</v>
      </c>
    </row>
    <row r="9" spans="1:3" x14ac:dyDescent="0.3">
      <c r="A9">
        <v>8</v>
      </c>
      <c r="B9" t="s">
        <v>10</v>
      </c>
      <c r="C9">
        <v>135408</v>
      </c>
    </row>
    <row r="10" spans="1:3" x14ac:dyDescent="0.3">
      <c r="A10">
        <v>9</v>
      </c>
      <c r="B10" t="s">
        <v>11</v>
      </c>
      <c r="C10">
        <v>134566</v>
      </c>
    </row>
    <row r="11" spans="1:3" x14ac:dyDescent="0.3">
      <c r="A11">
        <v>10</v>
      </c>
      <c r="B11" t="s">
        <v>13</v>
      </c>
      <c r="C11">
        <v>126044</v>
      </c>
    </row>
    <row r="12" spans="1:3" x14ac:dyDescent="0.3">
      <c r="A12">
        <v>11</v>
      </c>
      <c r="B12" t="s">
        <v>12</v>
      </c>
      <c r="C12">
        <v>125481</v>
      </c>
    </row>
    <row r="13" spans="1:3" x14ac:dyDescent="0.3">
      <c r="A13">
        <v>12</v>
      </c>
      <c r="B13" t="s">
        <v>14</v>
      </c>
      <c r="C13">
        <v>122323</v>
      </c>
    </row>
    <row r="14" spans="1:3" x14ac:dyDescent="0.3">
      <c r="A14">
        <v>13</v>
      </c>
      <c r="B14" t="s">
        <v>15</v>
      </c>
      <c r="C14">
        <v>113245</v>
      </c>
    </row>
    <row r="15" spans="1:3" x14ac:dyDescent="0.3">
      <c r="A15">
        <v>14</v>
      </c>
      <c r="B15" t="s">
        <v>16</v>
      </c>
      <c r="C15">
        <v>110549</v>
      </c>
    </row>
    <row r="16" spans="1:3" x14ac:dyDescent="0.3">
      <c r="A16">
        <v>15</v>
      </c>
      <c r="B16" t="s">
        <v>18</v>
      </c>
      <c r="C16">
        <v>107947</v>
      </c>
    </row>
    <row r="17" spans="1:3" x14ac:dyDescent="0.3">
      <c r="A17">
        <v>16</v>
      </c>
      <c r="B17" t="s">
        <v>17</v>
      </c>
      <c r="C17">
        <v>106818</v>
      </c>
    </row>
    <row r="18" spans="1:3" x14ac:dyDescent="0.3">
      <c r="A18">
        <v>17</v>
      </c>
      <c r="B18" t="s">
        <v>22</v>
      </c>
      <c r="C18">
        <v>104364</v>
      </c>
    </row>
    <row r="19" spans="1:3" x14ac:dyDescent="0.3">
      <c r="A19">
        <v>18</v>
      </c>
      <c r="B19" t="s">
        <v>19</v>
      </c>
      <c r="C19">
        <v>96921</v>
      </c>
    </row>
    <row r="20" spans="1:3" x14ac:dyDescent="0.3">
      <c r="A20">
        <v>19</v>
      </c>
      <c r="B20" t="s">
        <v>20</v>
      </c>
      <c r="C20">
        <v>92988</v>
      </c>
    </row>
    <row r="21" spans="1:3" x14ac:dyDescent="0.3">
      <c r="A21">
        <v>20</v>
      </c>
      <c r="B21" t="s">
        <v>21</v>
      </c>
      <c r="C21">
        <v>89979</v>
      </c>
    </row>
    <row r="22" spans="1:3" x14ac:dyDescent="0.3">
      <c r="A22">
        <v>21</v>
      </c>
      <c r="B22" t="s">
        <v>29</v>
      </c>
      <c r="C22">
        <v>89487</v>
      </c>
    </row>
    <row r="23" spans="1:3" x14ac:dyDescent="0.3">
      <c r="A23">
        <v>22</v>
      </c>
      <c r="B23" t="s">
        <v>23</v>
      </c>
      <c r="C23">
        <v>60298</v>
      </c>
    </row>
    <row r="24" spans="1:3" x14ac:dyDescent="0.3">
      <c r="A24">
        <v>23</v>
      </c>
      <c r="B24" t="s">
        <v>24</v>
      </c>
      <c r="C24">
        <v>56757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opLeftCell="A13" workbookViewId="0">
      <selection activeCell="J1" sqref="J1:J24"/>
    </sheetView>
  </sheetViews>
  <sheetFormatPr defaultRowHeight="14.4" x14ac:dyDescent="0.3"/>
  <cols>
    <col min="2" max="2" width="35.77734375" bestFit="1" customWidth="1"/>
    <col min="3" max="3" width="9.44140625" bestFit="1" customWidth="1"/>
    <col min="4" max="4" width="7.109375" customWidth="1"/>
    <col min="5" max="8" width="16.6640625" customWidth="1"/>
    <col min="10" max="10" width="11.21875" bestFit="1" customWidth="1"/>
    <col min="11" max="11" width="13.88671875" bestFit="1" customWidth="1"/>
    <col min="12" max="12" width="13.33203125" bestFit="1" customWidth="1"/>
    <col min="13" max="13" width="15.5546875" bestFit="1" customWidth="1"/>
    <col min="14" max="14" width="10.7773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1" t="s">
        <v>26</v>
      </c>
      <c r="E1" s="22"/>
      <c r="F1" s="5" t="s">
        <v>45</v>
      </c>
      <c r="G1" s="23" t="s">
        <v>46</v>
      </c>
      <c r="H1" s="23"/>
      <c r="J1" s="4" t="s">
        <v>27</v>
      </c>
      <c r="K1" s="4" t="s">
        <v>30</v>
      </c>
      <c r="L1" s="4" t="s">
        <v>28</v>
      </c>
      <c r="M1" s="4" t="s">
        <v>41</v>
      </c>
      <c r="N1" s="4" t="s">
        <v>35</v>
      </c>
    </row>
    <row r="2" spans="1:14" x14ac:dyDescent="0.3">
      <c r="A2">
        <v>1</v>
      </c>
      <c r="B2" t="s">
        <v>3</v>
      </c>
      <c r="C2">
        <v>208765</v>
      </c>
      <c r="D2" s="2">
        <f>C2/Opis!$B$2/(COUNTA(B:B)-1)</f>
        <v>0.90767391304347822</v>
      </c>
      <c r="E2" s="3">
        <f>D2</f>
        <v>0.90767391304347822</v>
      </c>
      <c r="F2" s="6">
        <f>_xlfn.XLOOKUP($B2,Wcześniej!$B:$B,Wcześniej!$A:$A)-A2</f>
        <v>1</v>
      </c>
      <c r="G2" s="6">
        <f>C2-_xlfn.XLOOKUP($B2,Wcześniej!$B:$B,Wcześniej!$C:$C)</f>
        <v>44180</v>
      </c>
      <c r="H2" s="6">
        <f>G2</f>
        <v>44180</v>
      </c>
      <c r="J2">
        <f>VLOOKUP($B2,'Które jakie'!$A$1:$F$24,2,FALSE)</f>
        <v>1</v>
      </c>
      <c r="K2">
        <f>VLOOKUP($B2,'Które jakie'!$A$1:$F$24,3,FALSE)</f>
        <v>0</v>
      </c>
      <c r="L2">
        <f>VLOOKUP($B2,'Które jakie'!$A$1:$F$24,4,FALSE)</f>
        <v>0</v>
      </c>
      <c r="M2">
        <f>VLOOKUP($B2,'Które jakie'!$A$1:$F$24,5,FALSE)</f>
        <v>0</v>
      </c>
      <c r="N2">
        <f>VLOOKUP($B2,'Które jakie'!$A$1:$F$24,6,FALSE)</f>
        <v>0</v>
      </c>
    </row>
    <row r="3" spans="1:14" x14ac:dyDescent="0.3">
      <c r="A3">
        <v>2</v>
      </c>
      <c r="B3" t="s">
        <v>4</v>
      </c>
      <c r="C3">
        <v>208030</v>
      </c>
      <c r="D3" s="2">
        <f>C3/Opis!$B$2/(COUNTA(B:B)-1)</f>
        <v>0.90447826086956529</v>
      </c>
      <c r="E3" s="3">
        <f t="shared" ref="E3:E24" si="0">D3</f>
        <v>0.90447826086956529</v>
      </c>
      <c r="F3" s="6">
        <f>_xlfn.XLOOKUP($B3,Wcześniej!$B:$B,Wcześniej!$A:$A)-A3</f>
        <v>1</v>
      </c>
      <c r="G3" s="6">
        <f>C3-_xlfn.XLOOKUP($B3,Wcześniej!$B:$B,Wcześniej!$C:$C)</f>
        <v>44612</v>
      </c>
      <c r="H3" s="6">
        <f t="shared" ref="H3:H24" si="1">G3</f>
        <v>44612</v>
      </c>
      <c r="J3">
        <f>VLOOKUP($B3,'Które jakie'!$A$1:$F$24,2,FALSE)</f>
        <v>1</v>
      </c>
      <c r="K3">
        <f>VLOOKUP($B3,'Które jakie'!$A$1:$F$24,3,FALSE)</f>
        <v>1</v>
      </c>
      <c r="L3">
        <f>VLOOKUP($B3,'Które jakie'!$A$1:$F$24,4,FALSE)</f>
        <v>1</v>
      </c>
      <c r="M3">
        <f>VLOOKUP($B3,'Które jakie'!$A$1:$F$24,5,FALSE)</f>
        <v>1</v>
      </c>
      <c r="N3">
        <f>VLOOKUP($B3,'Które jakie'!$A$1:$F$24,6,FALSE)</f>
        <v>0</v>
      </c>
    </row>
    <row r="4" spans="1:14" x14ac:dyDescent="0.3">
      <c r="A4">
        <v>3</v>
      </c>
      <c r="B4" t="s">
        <v>12</v>
      </c>
      <c r="C4">
        <v>195033</v>
      </c>
      <c r="D4" s="2">
        <f>C4/Opis!$B$2/(COUNTA(B:B)-1)</f>
        <v>0.84796956521739131</v>
      </c>
      <c r="E4" s="3">
        <f t="shared" si="0"/>
        <v>0.84796956521739131</v>
      </c>
      <c r="F4" s="6">
        <f>_xlfn.XLOOKUP($B4,Wcześniej!$B:$B,Wcześniej!$A:$A)-A4</f>
        <v>8</v>
      </c>
      <c r="G4" s="6">
        <f>C4-_xlfn.XLOOKUP($B4,Wcześniej!$B:$B,Wcześniej!$C:$C)</f>
        <v>69552</v>
      </c>
      <c r="H4" s="6">
        <f t="shared" si="1"/>
        <v>69552</v>
      </c>
      <c r="J4">
        <f>VLOOKUP($B4,'Które jakie'!$A$1:$F$24,2,FALSE)</f>
        <v>1</v>
      </c>
      <c r="K4">
        <f>VLOOKUP($B4,'Które jakie'!$A$1:$F$24,3,FALSE)</f>
        <v>1</v>
      </c>
      <c r="L4">
        <f>VLOOKUP($B4,'Które jakie'!$A$1:$F$24,4,FALSE)</f>
        <v>1</v>
      </c>
      <c r="M4">
        <f>VLOOKUP($B4,'Które jakie'!$A$1:$F$24,5,FALSE)</f>
        <v>1</v>
      </c>
      <c r="N4">
        <f>VLOOKUP($B4,'Które jakie'!$A$1:$F$24,6,FALSE)</f>
        <v>0</v>
      </c>
    </row>
    <row r="5" spans="1:14" x14ac:dyDescent="0.3">
      <c r="A5">
        <v>4</v>
      </c>
      <c r="B5" t="s">
        <v>17</v>
      </c>
      <c r="C5">
        <v>159887</v>
      </c>
      <c r="D5" s="2">
        <f>C5/Opis!$B$2/(COUNTA(B:B)-1)</f>
        <v>0.69516086956521739</v>
      </c>
      <c r="E5" s="3">
        <f t="shared" si="0"/>
        <v>0.69516086956521739</v>
      </c>
      <c r="F5" s="6">
        <f>_xlfn.XLOOKUP($B5,Wcześniej!$B:$B,Wcześniej!$A:$A)-A5</f>
        <v>12</v>
      </c>
      <c r="G5" s="6">
        <f>C5-_xlfn.XLOOKUP($B5,Wcześniej!$B:$B,Wcześniej!$C:$C)</f>
        <v>53069</v>
      </c>
      <c r="H5" s="6">
        <f t="shared" si="1"/>
        <v>53069</v>
      </c>
      <c r="J5">
        <f>VLOOKUP($B5,'Które jakie'!$A$1:$F$24,2,FALSE)</f>
        <v>1</v>
      </c>
      <c r="K5">
        <f>VLOOKUP($B5,'Które jakie'!$A$1:$F$24,3,FALSE)</f>
        <v>1</v>
      </c>
      <c r="L5">
        <f>VLOOKUP($B5,'Które jakie'!$A$1:$F$24,4,FALSE)</f>
        <v>1</v>
      </c>
      <c r="M5">
        <f>VLOOKUP($B5,'Które jakie'!$A$1:$F$24,5,FALSE)</f>
        <v>1</v>
      </c>
      <c r="N5">
        <f>VLOOKUP($B5,'Które jakie'!$A$1:$F$24,6,FALSE)</f>
        <v>0</v>
      </c>
    </row>
    <row r="6" spans="1:14" x14ac:dyDescent="0.3">
      <c r="A6">
        <v>5</v>
      </c>
      <c r="B6" t="s">
        <v>16</v>
      </c>
      <c r="C6">
        <v>158171</v>
      </c>
      <c r="D6" s="2">
        <f>C6/Opis!$B$2/(COUNTA(B:B)-1)</f>
        <v>0.68769999999999998</v>
      </c>
      <c r="E6" s="3">
        <f t="shared" si="0"/>
        <v>0.68769999999999998</v>
      </c>
      <c r="F6" s="6">
        <f>_xlfn.XLOOKUP($B6,Wcześniej!$B:$B,Wcześniej!$A:$A)-A6</f>
        <v>9</v>
      </c>
      <c r="G6" s="6">
        <f>C6-_xlfn.XLOOKUP($B6,Wcześniej!$B:$B,Wcześniej!$C:$C)</f>
        <v>47622</v>
      </c>
      <c r="H6" s="6">
        <f t="shared" si="1"/>
        <v>47622</v>
      </c>
      <c r="J6">
        <f>VLOOKUP($B6,'Które jakie'!$A$1:$F$24,2,FALSE)</f>
        <v>1</v>
      </c>
      <c r="K6">
        <f>VLOOKUP($B6,'Które jakie'!$A$1:$F$24,3,FALSE)</f>
        <v>1</v>
      </c>
      <c r="L6">
        <f>VLOOKUP($B6,'Które jakie'!$A$1:$F$24,4,FALSE)</f>
        <v>1</v>
      </c>
      <c r="M6">
        <f>VLOOKUP($B6,'Które jakie'!$A$1:$F$24,5,FALSE)</f>
        <v>1</v>
      </c>
      <c r="N6">
        <f>VLOOKUP($B6,'Które jakie'!$A$1:$F$24,6,FALSE)</f>
        <v>0</v>
      </c>
    </row>
    <row r="7" spans="1:14" x14ac:dyDescent="0.3">
      <c r="A7">
        <v>6</v>
      </c>
      <c r="B7" t="s">
        <v>10</v>
      </c>
      <c r="C7">
        <v>156786</v>
      </c>
      <c r="D7" s="2">
        <f>C7/Opis!$B$2/(COUNTA(B:B)-1)</f>
        <v>0.68167826086956518</v>
      </c>
      <c r="E7" s="3">
        <f t="shared" si="0"/>
        <v>0.68167826086956518</v>
      </c>
      <c r="F7" s="6">
        <f>_xlfn.XLOOKUP($B7,Wcześniej!$B:$B,Wcześniej!$A:$A)-A7</f>
        <v>2</v>
      </c>
      <c r="G7" s="6">
        <f>C7-_xlfn.XLOOKUP($B7,Wcześniej!$B:$B,Wcześniej!$C:$C)</f>
        <v>21378</v>
      </c>
      <c r="H7" s="6">
        <f t="shared" si="1"/>
        <v>21378</v>
      </c>
      <c r="J7">
        <f>VLOOKUP($B7,'Które jakie'!$A$1:$F$24,2,FALSE)</f>
        <v>1</v>
      </c>
      <c r="K7">
        <f>VLOOKUP($B7,'Które jakie'!$A$1:$F$24,3,FALSE)</f>
        <v>1</v>
      </c>
      <c r="L7">
        <f>VLOOKUP($B7,'Które jakie'!$A$1:$F$24,4,FALSE)</f>
        <v>1</v>
      </c>
      <c r="M7">
        <f>VLOOKUP($B7,'Które jakie'!$A$1:$F$24,5,FALSE)</f>
        <v>1</v>
      </c>
      <c r="N7">
        <f>VLOOKUP($B7,'Które jakie'!$A$1:$F$24,6,FALSE)</f>
        <v>1</v>
      </c>
    </row>
    <row r="8" spans="1:14" x14ac:dyDescent="0.3">
      <c r="A8">
        <v>7</v>
      </c>
      <c r="B8" t="s">
        <v>19</v>
      </c>
      <c r="C8">
        <v>134963</v>
      </c>
      <c r="D8" s="2">
        <f>C8/Opis!$B$2/(COUNTA(B:B)-1)</f>
        <v>0.58679565217391305</v>
      </c>
      <c r="E8" s="3">
        <f t="shared" si="0"/>
        <v>0.58679565217391305</v>
      </c>
      <c r="F8" s="6">
        <f>_xlfn.XLOOKUP($B8,Wcześniej!$B:$B,Wcześniej!$A:$A)-A8</f>
        <v>11</v>
      </c>
      <c r="G8" s="6">
        <f>C8-_xlfn.XLOOKUP($B8,Wcześniej!$B:$B,Wcześniej!$C:$C)</f>
        <v>38042</v>
      </c>
      <c r="H8" s="6">
        <f t="shared" si="1"/>
        <v>38042</v>
      </c>
      <c r="J8">
        <f>VLOOKUP($B8,'Które jakie'!$A$1:$F$24,2,FALSE)</f>
        <v>1</v>
      </c>
      <c r="K8">
        <f>VLOOKUP($B8,'Które jakie'!$A$1:$F$24,3,FALSE)</f>
        <v>0</v>
      </c>
      <c r="L8">
        <f>VLOOKUP($B8,'Które jakie'!$A$1:$F$24,4,FALSE)</f>
        <v>0</v>
      </c>
      <c r="M8">
        <f>VLOOKUP($B8,'Które jakie'!$A$1:$F$24,5,FALSE)</f>
        <v>0</v>
      </c>
      <c r="N8">
        <f>VLOOKUP($B8,'Które jakie'!$A$1:$F$24,6,FALSE)</f>
        <v>0</v>
      </c>
    </row>
    <row r="9" spans="1:14" x14ac:dyDescent="0.3">
      <c r="A9">
        <v>8</v>
      </c>
      <c r="B9" t="s">
        <v>18</v>
      </c>
      <c r="C9">
        <v>128843</v>
      </c>
      <c r="D9" s="2">
        <f>C9/Opis!$B$2/(COUNTA(B:B)-1)</f>
        <v>0.56018695652173911</v>
      </c>
      <c r="E9" s="3">
        <f t="shared" si="0"/>
        <v>0.56018695652173911</v>
      </c>
      <c r="F9" s="6">
        <f>_xlfn.XLOOKUP($B9,Wcześniej!$B:$B,Wcześniej!$A:$A)-A9</f>
        <v>7</v>
      </c>
      <c r="G9" s="6">
        <f>C9-_xlfn.XLOOKUP($B9,Wcześniej!$B:$B,Wcześniej!$C:$C)</f>
        <v>20896</v>
      </c>
      <c r="H9" s="6">
        <f t="shared" si="1"/>
        <v>20896</v>
      </c>
      <c r="J9">
        <f>VLOOKUP($B9,'Które jakie'!$A$1:$F$24,2,FALSE)</f>
        <v>1</v>
      </c>
      <c r="K9">
        <f>VLOOKUP($B9,'Które jakie'!$A$1:$F$24,3,FALSE)</f>
        <v>1</v>
      </c>
      <c r="L9">
        <f>VLOOKUP($B9,'Które jakie'!$A$1:$F$24,4,FALSE)</f>
        <v>1</v>
      </c>
      <c r="M9">
        <f>VLOOKUP($B9,'Które jakie'!$A$1:$F$24,5,FALSE)</f>
        <v>1</v>
      </c>
      <c r="N9">
        <f>VLOOKUP($B9,'Które jakie'!$A$1:$F$24,6,FALSE)</f>
        <v>1</v>
      </c>
    </row>
    <row r="10" spans="1:14" x14ac:dyDescent="0.3">
      <c r="A10">
        <v>9</v>
      </c>
      <c r="B10" t="s">
        <v>21</v>
      </c>
      <c r="C10">
        <v>127722</v>
      </c>
      <c r="D10" s="2">
        <f>C10/Opis!$B$2/(COUNTA(B:B)-1)</f>
        <v>0.55531304347826083</v>
      </c>
      <c r="E10" s="3">
        <f t="shared" si="0"/>
        <v>0.55531304347826083</v>
      </c>
      <c r="F10" s="6">
        <f>_xlfn.XLOOKUP($B10,Wcześniej!$B:$B,Wcześniej!$A:$A)-A10</f>
        <v>11</v>
      </c>
      <c r="G10" s="6">
        <f>C10-_xlfn.XLOOKUP($B10,Wcześniej!$B:$B,Wcześniej!$C:$C)</f>
        <v>37743</v>
      </c>
      <c r="H10" s="6">
        <f t="shared" si="1"/>
        <v>37743</v>
      </c>
      <c r="J10">
        <f>VLOOKUP($B10,'Które jakie'!$A$1:$F$24,2,FALSE)</f>
        <v>1</v>
      </c>
      <c r="K10">
        <f>VLOOKUP($B10,'Które jakie'!$A$1:$F$24,3,FALSE)</f>
        <v>0</v>
      </c>
      <c r="L10">
        <f>VLOOKUP($B10,'Które jakie'!$A$1:$F$24,4,FALSE)</f>
        <v>0</v>
      </c>
      <c r="M10">
        <f>VLOOKUP($B10,'Które jakie'!$A$1:$F$24,5,FALSE)</f>
        <v>0</v>
      </c>
      <c r="N10">
        <f>VLOOKUP($B10,'Które jakie'!$A$1:$F$24,6,FALSE)</f>
        <v>1</v>
      </c>
    </row>
    <row r="11" spans="1:14" x14ac:dyDescent="0.3">
      <c r="A11">
        <v>10</v>
      </c>
      <c r="B11" t="s">
        <v>29</v>
      </c>
      <c r="C11">
        <v>126710</v>
      </c>
      <c r="D11" s="2">
        <f>C11/Opis!$B$2/(COUNTA(B:B)-1)</f>
        <v>0.55091304347826087</v>
      </c>
      <c r="E11" s="3">
        <f t="shared" si="0"/>
        <v>0.55091304347826087</v>
      </c>
      <c r="F11" s="6">
        <f>_xlfn.XLOOKUP($B11,Wcześniej!$B:$B,Wcześniej!$A:$A)-A11</f>
        <v>11</v>
      </c>
      <c r="G11" s="6">
        <f>C11-_xlfn.XLOOKUP($B11,Wcześniej!$B:$B,Wcześniej!$C:$C)</f>
        <v>37223</v>
      </c>
      <c r="H11" s="6">
        <f t="shared" si="1"/>
        <v>37223</v>
      </c>
      <c r="J11">
        <f>VLOOKUP($B11,'Które jakie'!$A$1:$F$24,2,FALSE)</f>
        <v>1</v>
      </c>
      <c r="K11">
        <f>VLOOKUP($B11,'Które jakie'!$A$1:$F$24,3,FALSE)</f>
        <v>0</v>
      </c>
      <c r="L11">
        <f>VLOOKUP($B11,'Które jakie'!$A$1:$F$24,4,FALSE)</f>
        <v>0</v>
      </c>
      <c r="M11">
        <f>VLOOKUP($B11,'Które jakie'!$A$1:$F$24,5,FALSE)</f>
        <v>0</v>
      </c>
      <c r="N11">
        <f>VLOOKUP($B11,'Które jakie'!$A$1:$F$24,6,FALSE)</f>
        <v>0</v>
      </c>
    </row>
    <row r="12" spans="1:14" x14ac:dyDescent="0.3">
      <c r="A12">
        <v>11</v>
      </c>
      <c r="B12" t="s">
        <v>13</v>
      </c>
      <c r="C12">
        <v>110466</v>
      </c>
      <c r="D12" s="2">
        <f>C12/Opis!$B$2/(COUNTA(B:B)-1)</f>
        <v>0.48028695652173914</v>
      </c>
      <c r="E12" s="3">
        <f t="shared" si="0"/>
        <v>0.48028695652173914</v>
      </c>
      <c r="F12" s="6">
        <f>_xlfn.XLOOKUP($B12,Wcześniej!$B:$B,Wcześniej!$A:$A)-A12</f>
        <v>-1</v>
      </c>
      <c r="G12" s="6">
        <f>C12-_xlfn.XLOOKUP($B12,Wcześniej!$B:$B,Wcześniej!$C:$C)</f>
        <v>-15578</v>
      </c>
      <c r="H12" s="6">
        <f t="shared" si="1"/>
        <v>-15578</v>
      </c>
      <c r="J12">
        <f>VLOOKUP($B12,'Które jakie'!$A$1:$F$24,2,FALSE)</f>
        <v>1</v>
      </c>
      <c r="K12">
        <f>VLOOKUP($B12,'Które jakie'!$A$1:$F$24,3,FALSE)</f>
        <v>1</v>
      </c>
      <c r="L12">
        <f>VLOOKUP($B12,'Które jakie'!$A$1:$F$24,4,FALSE)</f>
        <v>1</v>
      </c>
      <c r="M12">
        <f>VLOOKUP($B12,'Które jakie'!$A$1:$F$24,5,FALSE)</f>
        <v>1</v>
      </c>
      <c r="N12">
        <f>VLOOKUP($B12,'Które jakie'!$A$1:$F$24,6,FALSE)</f>
        <v>1</v>
      </c>
    </row>
    <row r="13" spans="1:14" x14ac:dyDescent="0.3">
      <c r="A13">
        <v>12</v>
      </c>
      <c r="B13" t="s">
        <v>5</v>
      </c>
      <c r="C13">
        <v>110406</v>
      </c>
      <c r="D13" s="2">
        <f>C13/Opis!$B$2/(COUNTA(B:B)-1)</f>
        <v>0.48002608695652171</v>
      </c>
      <c r="E13" s="3">
        <f t="shared" si="0"/>
        <v>0.48002608695652171</v>
      </c>
      <c r="F13" s="6">
        <f>_xlfn.XLOOKUP($B13,Wcześniej!$B:$B,Wcześniej!$A:$A)-A13</f>
        <v>-11</v>
      </c>
      <c r="G13" s="6">
        <f>C13-_xlfn.XLOOKUP($B13,Wcześniej!$B:$B,Wcześniej!$C:$C)</f>
        <v>-55310</v>
      </c>
      <c r="H13" s="6">
        <f t="shared" si="1"/>
        <v>-55310</v>
      </c>
      <c r="J13">
        <f>VLOOKUP($B13,'Które jakie'!$A$1:$F$24,2,FALSE)</f>
        <v>0</v>
      </c>
      <c r="K13">
        <f>VLOOKUP($B13,'Które jakie'!$A$1:$F$24,3,FALSE)</f>
        <v>1</v>
      </c>
      <c r="L13">
        <f>VLOOKUP($B13,'Które jakie'!$A$1:$F$24,4,FALSE)</f>
        <v>0</v>
      </c>
      <c r="M13">
        <f>VLOOKUP($B13,'Które jakie'!$A$1:$F$24,5,FALSE)</f>
        <v>1</v>
      </c>
      <c r="N13">
        <f>VLOOKUP($B13,'Które jakie'!$A$1:$F$24,6,FALSE)</f>
        <v>0</v>
      </c>
    </row>
    <row r="14" spans="1:14" x14ac:dyDescent="0.3">
      <c r="A14">
        <v>13</v>
      </c>
      <c r="B14" t="s">
        <v>6</v>
      </c>
      <c r="C14">
        <v>103289</v>
      </c>
      <c r="D14" s="2">
        <f>C14/Opis!$B$2/(COUNTA(B:B)-1)</f>
        <v>0.4490826086956522</v>
      </c>
      <c r="E14" s="3">
        <f t="shared" si="0"/>
        <v>0.4490826086956522</v>
      </c>
      <c r="F14" s="6">
        <f>_xlfn.XLOOKUP($B14,Wcześniej!$B:$B,Wcześniej!$A:$A)-A14</f>
        <v>-9</v>
      </c>
      <c r="G14" s="6">
        <f>C14-_xlfn.XLOOKUP($B14,Wcześniej!$B:$B,Wcześniej!$C:$C)</f>
        <v>-56035</v>
      </c>
      <c r="H14" s="6">
        <f t="shared" si="1"/>
        <v>-56035</v>
      </c>
      <c r="J14">
        <f>VLOOKUP($B14,'Które jakie'!$A$1:$F$24,2,FALSE)</f>
        <v>0</v>
      </c>
      <c r="K14">
        <f>VLOOKUP($B14,'Które jakie'!$A$1:$F$24,3,FALSE)</f>
        <v>1</v>
      </c>
      <c r="L14">
        <f>VLOOKUP($B14,'Które jakie'!$A$1:$F$24,4,FALSE)</f>
        <v>1</v>
      </c>
      <c r="M14">
        <f>VLOOKUP($B14,'Które jakie'!$A$1:$F$24,5,FALSE)</f>
        <v>1</v>
      </c>
      <c r="N14">
        <f>VLOOKUP($B14,'Które jakie'!$A$1:$F$24,6,FALSE)</f>
        <v>0</v>
      </c>
    </row>
    <row r="15" spans="1:14" x14ac:dyDescent="0.3">
      <c r="A15">
        <v>14</v>
      </c>
      <c r="B15" t="s">
        <v>22</v>
      </c>
      <c r="C15">
        <v>101988</v>
      </c>
      <c r="D15" s="2">
        <f>C15/Opis!$B$2/(COUNTA(B:B)-1)</f>
        <v>0.44342608695652175</v>
      </c>
      <c r="E15" s="3">
        <f t="shared" si="0"/>
        <v>0.44342608695652175</v>
      </c>
      <c r="F15" s="6">
        <f>_xlfn.XLOOKUP($B15,Wcześniej!$B:$B,Wcześniej!$A:$A)-A15</f>
        <v>3</v>
      </c>
      <c r="G15" s="6">
        <f>C15-_xlfn.XLOOKUP($B15,Wcześniej!$B:$B,Wcześniej!$C:$C)</f>
        <v>-2376</v>
      </c>
      <c r="H15" s="6">
        <f t="shared" si="1"/>
        <v>-2376</v>
      </c>
      <c r="J15">
        <f>VLOOKUP($B15,'Które jakie'!$A$1:$F$24,2,FALSE)</f>
        <v>0</v>
      </c>
      <c r="K15">
        <f>VLOOKUP($B15,'Które jakie'!$A$1:$F$24,3,FALSE)</f>
        <v>1</v>
      </c>
      <c r="L15">
        <f>VLOOKUP($B15,'Które jakie'!$A$1:$F$24,4,FALSE)</f>
        <v>1</v>
      </c>
      <c r="M15">
        <f>VLOOKUP($B15,'Które jakie'!$A$1:$F$24,5,FALSE)</f>
        <v>1</v>
      </c>
      <c r="N15">
        <f>VLOOKUP($B15,'Które jakie'!$A$1:$F$24,6,FALSE)</f>
        <v>1</v>
      </c>
    </row>
    <row r="16" spans="1:14" x14ac:dyDescent="0.3">
      <c r="A16">
        <v>15</v>
      </c>
      <c r="B16" t="s">
        <v>14</v>
      </c>
      <c r="C16">
        <v>100714</v>
      </c>
      <c r="D16" s="2">
        <f>C16/Opis!$B$2/(COUNTA(B:B)-1)</f>
        <v>0.43788695652173915</v>
      </c>
      <c r="E16" s="3">
        <f t="shared" si="0"/>
        <v>0.43788695652173915</v>
      </c>
      <c r="F16" s="6">
        <f>_xlfn.XLOOKUP($B16,Wcześniej!$B:$B,Wcześniej!$A:$A)-A16</f>
        <v>-3</v>
      </c>
      <c r="G16" s="6">
        <f>C16-_xlfn.XLOOKUP($B16,Wcześniej!$B:$B,Wcześniej!$C:$C)</f>
        <v>-21609</v>
      </c>
      <c r="H16" s="6">
        <f t="shared" si="1"/>
        <v>-21609</v>
      </c>
      <c r="J16">
        <f>VLOOKUP($B16,'Które jakie'!$A$1:$F$24,2,FALSE)</f>
        <v>1</v>
      </c>
      <c r="K16">
        <f>VLOOKUP($B16,'Które jakie'!$A$1:$F$24,3,FALSE)</f>
        <v>1</v>
      </c>
      <c r="L16">
        <f>VLOOKUP($B16,'Które jakie'!$A$1:$F$24,4,FALSE)</f>
        <v>1</v>
      </c>
      <c r="M16">
        <f>VLOOKUP($B16,'Które jakie'!$A$1:$F$24,5,FALSE)</f>
        <v>1</v>
      </c>
      <c r="N16">
        <f>VLOOKUP($B16,'Które jakie'!$A$1:$F$24,6,FALSE)</f>
        <v>0</v>
      </c>
    </row>
    <row r="17" spans="1:14" x14ac:dyDescent="0.3">
      <c r="A17">
        <v>16</v>
      </c>
      <c r="B17" t="s">
        <v>7</v>
      </c>
      <c r="C17">
        <v>98811</v>
      </c>
      <c r="D17" s="2">
        <f>C17/Opis!$B$2/(COUNTA(B:B)-1)</f>
        <v>0.42961304347826085</v>
      </c>
      <c r="E17" s="3">
        <f t="shared" si="0"/>
        <v>0.42961304347826085</v>
      </c>
      <c r="F17" s="6">
        <f>_xlfn.XLOOKUP($B17,Wcześniej!$B:$B,Wcześniej!$A:$A)-A17</f>
        <v>-11</v>
      </c>
      <c r="G17" s="6">
        <f>C17-_xlfn.XLOOKUP($B17,Wcześniej!$B:$B,Wcześniej!$C:$C)</f>
        <v>-50228</v>
      </c>
      <c r="H17" s="6">
        <f t="shared" si="1"/>
        <v>-50228</v>
      </c>
      <c r="J17">
        <f>VLOOKUP($B17,'Które jakie'!$A$1:$F$24,2,FALSE)</f>
        <v>0</v>
      </c>
      <c r="K17">
        <f>VLOOKUP($B17,'Które jakie'!$A$1:$F$24,3,FALSE)</f>
        <v>1</v>
      </c>
      <c r="L17">
        <f>VLOOKUP($B17,'Które jakie'!$A$1:$F$24,4,FALSE)</f>
        <v>1</v>
      </c>
      <c r="M17">
        <f>VLOOKUP($B17,'Które jakie'!$A$1:$F$24,5,FALSE)</f>
        <v>1</v>
      </c>
      <c r="N17">
        <f>VLOOKUP($B17,'Które jakie'!$A$1:$F$24,6,FALSE)</f>
        <v>0</v>
      </c>
    </row>
    <row r="18" spans="1:14" x14ac:dyDescent="0.3">
      <c r="A18">
        <v>17</v>
      </c>
      <c r="B18" t="s">
        <v>11</v>
      </c>
      <c r="C18">
        <v>98236</v>
      </c>
      <c r="D18" s="2">
        <f>C18/Opis!$B$2/(COUNTA(B:B)-1)</f>
        <v>0.4271130434782609</v>
      </c>
      <c r="E18" s="3">
        <f t="shared" si="0"/>
        <v>0.4271130434782609</v>
      </c>
      <c r="F18" s="6">
        <f>_xlfn.XLOOKUP($B18,Wcześniej!$B:$B,Wcześniej!$A:$A)-A18</f>
        <v>-8</v>
      </c>
      <c r="G18" s="6">
        <f>C18-_xlfn.XLOOKUP($B18,Wcześniej!$B:$B,Wcześniej!$C:$C)</f>
        <v>-36330</v>
      </c>
      <c r="H18" s="6">
        <f t="shared" si="1"/>
        <v>-36330</v>
      </c>
      <c r="J18">
        <f>VLOOKUP($B18,'Które jakie'!$A$1:$F$24,2,FALSE)</f>
        <v>0</v>
      </c>
      <c r="K18">
        <f>VLOOKUP($B18,'Które jakie'!$A$1:$F$24,3,FALSE)</f>
        <v>1</v>
      </c>
      <c r="L18">
        <f>VLOOKUP($B18,'Które jakie'!$A$1:$F$24,4,FALSE)</f>
        <v>1</v>
      </c>
      <c r="M18">
        <f>VLOOKUP($B18,'Które jakie'!$A$1:$F$24,5,FALSE)</f>
        <v>1</v>
      </c>
      <c r="N18">
        <f>VLOOKUP($B18,'Które jakie'!$A$1:$F$24,6,FALSE)</f>
        <v>0</v>
      </c>
    </row>
    <row r="19" spans="1:14" x14ac:dyDescent="0.3">
      <c r="A19">
        <v>18</v>
      </c>
      <c r="B19" t="s">
        <v>8</v>
      </c>
      <c r="C19">
        <v>97787</v>
      </c>
      <c r="D19" s="2">
        <f>C19/Opis!$B$2/(COUNTA(B:B)-1)</f>
        <v>0.42516086956521743</v>
      </c>
      <c r="E19" s="3">
        <f t="shared" si="0"/>
        <v>0.42516086956521743</v>
      </c>
      <c r="F19" s="6">
        <f>_xlfn.XLOOKUP($B19,Wcześniej!$B:$B,Wcześniej!$A:$A)-A19</f>
        <v>-12</v>
      </c>
      <c r="G19" s="6">
        <f>C19-_xlfn.XLOOKUP($B19,Wcześniej!$B:$B,Wcześniej!$C:$C)</f>
        <v>-48290</v>
      </c>
      <c r="H19" s="6">
        <f t="shared" si="1"/>
        <v>-48290</v>
      </c>
      <c r="J19">
        <f>VLOOKUP($B19,'Które jakie'!$A$1:$F$24,2,FALSE)</f>
        <v>0</v>
      </c>
      <c r="K19">
        <f>VLOOKUP($B19,'Które jakie'!$A$1:$F$24,3,FALSE)</f>
        <v>1</v>
      </c>
      <c r="L19">
        <f>VLOOKUP($B19,'Które jakie'!$A$1:$F$24,4,FALSE)</f>
        <v>1</v>
      </c>
      <c r="M19">
        <f>VLOOKUP($B19,'Które jakie'!$A$1:$F$24,5,FALSE)</f>
        <v>1</v>
      </c>
      <c r="N19">
        <f>VLOOKUP($B19,'Które jakie'!$A$1:$F$24,6,FALSE)</f>
        <v>0</v>
      </c>
    </row>
    <row r="20" spans="1:14" x14ac:dyDescent="0.3">
      <c r="A20">
        <v>19</v>
      </c>
      <c r="B20" t="s">
        <v>20</v>
      </c>
      <c r="C20">
        <v>87418</v>
      </c>
      <c r="D20" s="2">
        <f>C20/Opis!$B$2/(COUNTA(B:B)-1)</f>
        <v>0.3800782608695652</v>
      </c>
      <c r="E20" s="3">
        <f t="shared" si="0"/>
        <v>0.3800782608695652</v>
      </c>
      <c r="F20" s="6">
        <f>_xlfn.XLOOKUP($B20,Wcześniej!$B:$B,Wcześniej!$A:$A)-A20</f>
        <v>0</v>
      </c>
      <c r="G20" s="6">
        <f>C20-_xlfn.XLOOKUP($B20,Wcześniej!$B:$B,Wcześniej!$C:$C)</f>
        <v>-5570</v>
      </c>
      <c r="H20" s="6">
        <f t="shared" si="1"/>
        <v>-5570</v>
      </c>
      <c r="J20">
        <f>VLOOKUP($B20,'Które jakie'!$A$1:$F$24,2,FALSE)</f>
        <v>1</v>
      </c>
      <c r="K20">
        <f>VLOOKUP($B20,'Które jakie'!$A$1:$F$24,3,FALSE)</f>
        <v>1</v>
      </c>
      <c r="L20">
        <f>VLOOKUP($B20,'Które jakie'!$A$1:$F$24,4,FALSE)</f>
        <v>1</v>
      </c>
      <c r="M20">
        <f>VLOOKUP($B20,'Które jakie'!$A$1:$F$24,5,FALSE)</f>
        <v>0</v>
      </c>
      <c r="N20">
        <f>VLOOKUP($B20,'Które jakie'!$A$1:$F$24,6,FALSE)</f>
        <v>0</v>
      </c>
    </row>
    <row r="21" spans="1:14" x14ac:dyDescent="0.3">
      <c r="A21">
        <v>20</v>
      </c>
      <c r="B21" t="s">
        <v>15</v>
      </c>
      <c r="C21">
        <v>69644</v>
      </c>
      <c r="D21" s="2">
        <f>C21/Opis!$B$2/(COUNTA(B:B)-1)</f>
        <v>0.30280000000000001</v>
      </c>
      <c r="E21" s="3">
        <f t="shared" si="0"/>
        <v>0.30280000000000001</v>
      </c>
      <c r="F21" s="6">
        <f>_xlfn.XLOOKUP($B21,Wcześniej!$B:$B,Wcześniej!$A:$A)-A21</f>
        <v>-7</v>
      </c>
      <c r="G21" s="6">
        <f>C21-_xlfn.XLOOKUP($B21,Wcześniej!$B:$B,Wcześniej!$C:$C)</f>
        <v>-43601</v>
      </c>
      <c r="H21" s="6">
        <f t="shared" si="1"/>
        <v>-43601</v>
      </c>
      <c r="J21">
        <f>VLOOKUP($B21,'Które jakie'!$A$1:$F$24,2,FALSE)</f>
        <v>1</v>
      </c>
      <c r="K21">
        <f>VLOOKUP($B21,'Które jakie'!$A$1:$F$24,3,FALSE)</f>
        <v>1</v>
      </c>
      <c r="L21">
        <f>VLOOKUP($B21,'Które jakie'!$A$1:$F$24,4,FALSE)</f>
        <v>1</v>
      </c>
      <c r="M21">
        <f>VLOOKUP($B21,'Które jakie'!$A$1:$F$24,5,FALSE)</f>
        <v>1</v>
      </c>
      <c r="N21">
        <f>VLOOKUP($B21,'Które jakie'!$A$1:$F$24,6,FALSE)</f>
        <v>0</v>
      </c>
    </row>
    <row r="22" spans="1:14" x14ac:dyDescent="0.3">
      <c r="A22">
        <v>21</v>
      </c>
      <c r="B22" t="s">
        <v>9</v>
      </c>
      <c r="C22">
        <v>62190</v>
      </c>
      <c r="D22" s="2">
        <f>C22/Opis!$B$2/(COUNTA(B:B)-1)</f>
        <v>0.2703913043478261</v>
      </c>
      <c r="E22" s="3">
        <f t="shared" si="0"/>
        <v>0.2703913043478261</v>
      </c>
      <c r="F22" s="6">
        <f>_xlfn.XLOOKUP($B22,Wcześniej!$B:$B,Wcześniej!$A:$A)-A22</f>
        <v>-14</v>
      </c>
      <c r="G22" s="6">
        <f>C22-_xlfn.XLOOKUP($B22,Wcześniej!$B:$B,Wcześniej!$C:$C)</f>
        <v>-76476</v>
      </c>
      <c r="H22" s="6">
        <f t="shared" si="1"/>
        <v>-76476</v>
      </c>
      <c r="J22">
        <f>VLOOKUP($B22,'Które jakie'!$A$1:$F$24,2,FALSE)</f>
        <v>0</v>
      </c>
      <c r="K22">
        <f>VLOOKUP($B22,'Które jakie'!$A$1:$F$24,3,FALSE)</f>
        <v>1</v>
      </c>
      <c r="L22">
        <f>VLOOKUP($B22,'Które jakie'!$A$1:$F$24,4,FALSE)</f>
        <v>1</v>
      </c>
      <c r="M22">
        <f>VLOOKUP($B22,'Które jakie'!$A$1:$F$24,5,FALSE)</f>
        <v>1</v>
      </c>
      <c r="N22">
        <f>VLOOKUP($B22,'Które jakie'!$A$1:$F$24,6,FALSE)</f>
        <v>1</v>
      </c>
    </row>
    <row r="23" spans="1:14" x14ac:dyDescent="0.3">
      <c r="A23">
        <v>22</v>
      </c>
      <c r="B23" t="s">
        <v>24</v>
      </c>
      <c r="C23">
        <v>58258</v>
      </c>
      <c r="D23" s="2">
        <f>C23/Opis!$B$2/(COUNTA(B:B)-1)</f>
        <v>0.25329565217391303</v>
      </c>
      <c r="E23" s="3">
        <f t="shared" si="0"/>
        <v>0.25329565217391303</v>
      </c>
      <c r="F23" s="6">
        <f>_xlfn.XLOOKUP($B23,Wcześniej!$B:$B,Wcześniej!$A:$A)-A23</f>
        <v>1</v>
      </c>
      <c r="G23" s="6">
        <f>C23-_xlfn.XLOOKUP($B23,Wcześniej!$B:$B,Wcześniej!$C:$C)</f>
        <v>1501</v>
      </c>
      <c r="H23" s="6">
        <f t="shared" si="1"/>
        <v>1501</v>
      </c>
      <c r="J23">
        <f>VLOOKUP($B23,'Które jakie'!$A$1:$F$24,2,FALSE)</f>
        <v>1</v>
      </c>
      <c r="K23">
        <f>VLOOKUP($B23,'Które jakie'!$A$1:$F$24,3,FALSE)</f>
        <v>0</v>
      </c>
      <c r="L23">
        <f>VLOOKUP($B23,'Które jakie'!$A$1:$F$24,4,FALSE)</f>
        <v>0</v>
      </c>
      <c r="M23">
        <f>VLOOKUP($B23,'Które jakie'!$A$1:$F$24,5,FALSE)</f>
        <v>0</v>
      </c>
      <c r="N23">
        <f>VLOOKUP($B23,'Które jakie'!$A$1:$F$24,6,FALSE)</f>
        <v>0</v>
      </c>
    </row>
    <row r="24" spans="1:14" x14ac:dyDescent="0.3">
      <c r="A24">
        <v>23</v>
      </c>
      <c r="B24" t="s">
        <v>23</v>
      </c>
      <c r="C24">
        <v>55883</v>
      </c>
      <c r="D24" s="2">
        <f>C24/Opis!$B$2/(COUNTA(B:B)-1)</f>
        <v>0.24296956521739133</v>
      </c>
      <c r="E24" s="3">
        <f t="shared" si="0"/>
        <v>0.24296956521739133</v>
      </c>
      <c r="F24" s="6">
        <f>_xlfn.XLOOKUP($B24,Wcześniej!$B:$B,Wcześniej!$A:$A)-A24</f>
        <v>-1</v>
      </c>
      <c r="G24" s="6">
        <f>C24-_xlfn.XLOOKUP($B24,Wcześniej!$B:$B,Wcześniej!$C:$C)</f>
        <v>-4415</v>
      </c>
      <c r="H24" s="6">
        <f t="shared" si="1"/>
        <v>-4415</v>
      </c>
      <c r="J24">
        <f>VLOOKUP($B24,'Które jakie'!$A$1:$F$24,2,FALSE)</f>
        <v>0</v>
      </c>
      <c r="K24">
        <f>VLOOKUP($B24,'Które jakie'!$A$1:$F$24,3,FALSE)</f>
        <v>0</v>
      </c>
      <c r="L24">
        <f>VLOOKUP($B24,'Które jakie'!$A$1:$F$24,4,FALSE)</f>
        <v>0</v>
      </c>
      <c r="M24">
        <f>VLOOKUP($B24,'Które jakie'!$A$1:$F$24,5,FALSE)</f>
        <v>0</v>
      </c>
      <c r="N24">
        <f>VLOOKUP($B24,'Które jakie'!$A$1:$F$24,6,FALSE)</f>
        <v>0</v>
      </c>
    </row>
    <row r="26" spans="1:14" x14ac:dyDescent="0.3">
      <c r="J26" t="s">
        <v>31</v>
      </c>
      <c r="K26" t="s">
        <v>38</v>
      </c>
      <c r="L26" t="s">
        <v>39</v>
      </c>
      <c r="M26" t="s">
        <v>42</v>
      </c>
      <c r="N26" t="s">
        <v>40</v>
      </c>
    </row>
    <row r="27" spans="1:14" x14ac:dyDescent="0.3">
      <c r="J27">
        <f>SUM(J2:J24)</f>
        <v>15</v>
      </c>
      <c r="K27">
        <f t="shared" ref="K27:N27" si="2">SUM(K2:K24)</f>
        <v>17</v>
      </c>
      <c r="L27">
        <f t="shared" si="2"/>
        <v>16</v>
      </c>
      <c r="M27">
        <f t="shared" ref="M27" si="3">SUM(M2:M24)</f>
        <v>16</v>
      </c>
      <c r="N27">
        <f t="shared" si="2"/>
        <v>6</v>
      </c>
    </row>
    <row r="28" spans="1:14" x14ac:dyDescent="0.3">
      <c r="J28" s="2">
        <f>J27/$A$24</f>
        <v>0.65217391304347827</v>
      </c>
      <c r="K28" s="2">
        <f t="shared" ref="K28:N28" si="4">K27/$A$24</f>
        <v>0.73913043478260865</v>
      </c>
      <c r="L28" s="2">
        <f t="shared" si="4"/>
        <v>0.69565217391304346</v>
      </c>
      <c r="M28" s="2">
        <f t="shared" si="4"/>
        <v>0.69565217391304346</v>
      </c>
      <c r="N28" s="2">
        <f t="shared" si="4"/>
        <v>0.2608695652173913</v>
      </c>
    </row>
  </sheetData>
  <mergeCells count="2">
    <mergeCell ref="D1:E1"/>
    <mergeCell ref="G1:H1"/>
  </mergeCells>
  <conditionalFormatting sqref="E2:E24">
    <cfRule type="dataBar" priority="3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{B411C02E-93E7-4DF5-9696-85F8762621DB}</x14:id>
        </ext>
      </extLst>
    </cfRule>
  </conditionalFormatting>
  <conditionalFormatting sqref="H2:H24">
    <cfRule type="dataBar" priority="1">
      <dataBar showValue="0">
        <cfvo type="min"/>
        <cfvo type="max"/>
        <color rgb="FF92D050"/>
      </dataBar>
      <extLst>
        <ext xmlns:x14="http://schemas.microsoft.com/office/spreadsheetml/2009/9/main" uri="{B025F937-C7B1-47D3-B67F-A62EFF666E3E}">
          <x14:id>{FCB4209E-EB37-484A-8321-20B658BAF127}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11C02E-93E7-4DF5-9696-85F8762621DB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E2:E24</xm:sqref>
        </x14:conditionalFormatting>
        <x14:conditionalFormatting xmlns:xm="http://schemas.microsoft.com/office/excel/2006/main">
          <x14:cfRule type="iconSet" priority="2" id="{470AA36A-B229-4383-AC3E-148FAAE07B6D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F2:F24</xm:sqref>
        </x14:conditionalFormatting>
        <x14:conditionalFormatting xmlns:xm="http://schemas.microsoft.com/office/excel/2006/main">
          <x14:cfRule type="dataBar" id="{FCB4209E-EB37-484A-8321-20B658BAF127}">
            <x14:dataBar minLength="0" maxLength="100" border="1" gradient="0">
              <x14:cfvo type="autoMin"/>
              <x14:cfvo type="autoMax"/>
              <x14:borderColor rgb="FF000000"/>
              <x14:negativeFillColor rgb="FFFF0000"/>
              <x14:axisColor rgb="FF000000"/>
            </x14:dataBar>
          </x14:cfRule>
          <xm:sqref>H2:H24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93CE-F0D5-4251-B045-544EEDEECF44}">
  <sheetPr>
    <pageSetUpPr autoPageBreaks="0" fitToPage="1"/>
  </sheetPr>
  <dimension ref="B2:L25"/>
  <sheetViews>
    <sheetView workbookViewId="0">
      <selection activeCell="N9" sqref="N9"/>
    </sheetView>
  </sheetViews>
  <sheetFormatPr defaultRowHeight="14.4" x14ac:dyDescent="0.3"/>
  <cols>
    <col min="1" max="1" width="3.5546875" style="7" customWidth="1"/>
    <col min="2" max="2" width="9.6640625" style="7" bestFit="1" customWidth="1"/>
    <col min="3" max="3" width="41.88671875" style="7" bestFit="1" customWidth="1"/>
    <col min="4" max="4" width="10.5546875" style="7" customWidth="1"/>
    <col min="5" max="5" width="9.77734375" style="7" customWidth="1"/>
    <col min="6" max="6" width="10.33203125" style="7" customWidth="1"/>
    <col min="7" max="7" width="19" style="7" bestFit="1" customWidth="1"/>
    <col min="8" max="8" width="9.88671875" style="7" customWidth="1"/>
    <col min="9" max="9" width="11.44140625" style="7" customWidth="1"/>
    <col min="10" max="16384" width="8.88671875" style="7"/>
  </cols>
  <sheetData>
    <row r="2" spans="2:12" ht="18" customHeight="1" x14ac:dyDescent="0.3">
      <c r="B2" s="8" t="s">
        <v>0</v>
      </c>
      <c r="C2" s="9" t="s">
        <v>1</v>
      </c>
      <c r="D2" s="9" t="s">
        <v>2</v>
      </c>
      <c r="E2" s="18" t="s">
        <v>26</v>
      </c>
      <c r="F2" s="19"/>
      <c r="G2" s="8" t="s">
        <v>45</v>
      </c>
      <c r="H2" s="20" t="s">
        <v>46</v>
      </c>
      <c r="I2" s="20"/>
      <c r="L2" s="7" t="s">
        <v>27</v>
      </c>
    </row>
    <row r="3" spans="2:12" x14ac:dyDescent="0.3">
      <c r="B3" s="10">
        <v>1</v>
      </c>
      <c r="C3" s="11" t="s">
        <v>3</v>
      </c>
      <c r="D3" s="12">
        <v>208765</v>
      </c>
      <c r="E3" s="13">
        <v>0.90767391304347822</v>
      </c>
      <c r="F3" s="14">
        <f>E3</f>
        <v>0.90767391304347822</v>
      </c>
      <c r="G3" s="15">
        <v>1</v>
      </c>
      <c r="H3" s="16">
        <v>44180</v>
      </c>
      <c r="I3" s="17">
        <f>H3</f>
        <v>44180</v>
      </c>
      <c r="L3" s="7">
        <v>1</v>
      </c>
    </row>
    <row r="4" spans="2:12" x14ac:dyDescent="0.3">
      <c r="B4" s="10">
        <v>2</v>
      </c>
      <c r="C4" s="11" t="s">
        <v>4</v>
      </c>
      <c r="D4" s="12">
        <v>208030</v>
      </c>
      <c r="E4" s="13">
        <v>0.90447826086956529</v>
      </c>
      <c r="F4" s="14">
        <f t="shared" ref="F4:F25" si="0">E4</f>
        <v>0.90447826086956529</v>
      </c>
      <c r="G4" s="15">
        <v>1</v>
      </c>
      <c r="H4" s="16">
        <v>44612</v>
      </c>
      <c r="I4" s="17">
        <f t="shared" ref="I4:I25" si="1">H4</f>
        <v>44612</v>
      </c>
      <c r="L4" s="7">
        <v>1</v>
      </c>
    </row>
    <row r="5" spans="2:12" x14ac:dyDescent="0.3">
      <c r="B5" s="10">
        <v>3</v>
      </c>
      <c r="C5" s="11" t="s">
        <v>12</v>
      </c>
      <c r="D5" s="12">
        <v>195033</v>
      </c>
      <c r="E5" s="13">
        <v>0.84796956521739131</v>
      </c>
      <c r="F5" s="14">
        <f t="shared" si="0"/>
        <v>0.84796956521739131</v>
      </c>
      <c r="G5" s="15">
        <v>8</v>
      </c>
      <c r="H5" s="16">
        <v>69552</v>
      </c>
      <c r="I5" s="17">
        <f t="shared" si="1"/>
        <v>69552</v>
      </c>
      <c r="L5" s="7">
        <v>1</v>
      </c>
    </row>
    <row r="6" spans="2:12" x14ac:dyDescent="0.3">
      <c r="B6" s="10">
        <v>4</v>
      </c>
      <c r="C6" s="11" t="s">
        <v>17</v>
      </c>
      <c r="D6" s="12">
        <v>159887</v>
      </c>
      <c r="E6" s="13">
        <v>0.69516086956521739</v>
      </c>
      <c r="F6" s="14">
        <f t="shared" si="0"/>
        <v>0.69516086956521739</v>
      </c>
      <c r="G6" s="15">
        <v>12</v>
      </c>
      <c r="H6" s="16">
        <v>53069</v>
      </c>
      <c r="I6" s="17">
        <f t="shared" si="1"/>
        <v>53069</v>
      </c>
      <c r="L6" s="7">
        <v>1</v>
      </c>
    </row>
    <row r="7" spans="2:12" x14ac:dyDescent="0.3">
      <c r="B7" s="10">
        <v>5</v>
      </c>
      <c r="C7" s="11" t="s">
        <v>16</v>
      </c>
      <c r="D7" s="12">
        <v>158171</v>
      </c>
      <c r="E7" s="13">
        <v>0.68769999999999998</v>
      </c>
      <c r="F7" s="14">
        <f t="shared" si="0"/>
        <v>0.68769999999999998</v>
      </c>
      <c r="G7" s="15">
        <v>9</v>
      </c>
      <c r="H7" s="16">
        <v>47622</v>
      </c>
      <c r="I7" s="17">
        <f t="shared" si="1"/>
        <v>47622</v>
      </c>
      <c r="L7" s="7">
        <v>1</v>
      </c>
    </row>
    <row r="8" spans="2:12" x14ac:dyDescent="0.3">
      <c r="B8" s="10">
        <v>6</v>
      </c>
      <c r="C8" s="11" t="s">
        <v>10</v>
      </c>
      <c r="D8" s="12">
        <v>156786</v>
      </c>
      <c r="E8" s="13">
        <v>0.68167826086956518</v>
      </c>
      <c r="F8" s="14">
        <f t="shared" si="0"/>
        <v>0.68167826086956518</v>
      </c>
      <c r="G8" s="15">
        <v>2</v>
      </c>
      <c r="H8" s="16">
        <v>21378</v>
      </c>
      <c r="I8" s="17">
        <f t="shared" si="1"/>
        <v>21378</v>
      </c>
      <c r="L8" s="7">
        <v>1</v>
      </c>
    </row>
    <row r="9" spans="2:12" x14ac:dyDescent="0.3">
      <c r="B9" s="10">
        <v>7</v>
      </c>
      <c r="C9" s="11" t="s">
        <v>19</v>
      </c>
      <c r="D9" s="12">
        <v>134963</v>
      </c>
      <c r="E9" s="13">
        <v>0.58679565217391305</v>
      </c>
      <c r="F9" s="14">
        <f t="shared" si="0"/>
        <v>0.58679565217391305</v>
      </c>
      <c r="G9" s="15">
        <v>11</v>
      </c>
      <c r="H9" s="16">
        <v>38042</v>
      </c>
      <c r="I9" s="17">
        <f t="shared" si="1"/>
        <v>38042</v>
      </c>
      <c r="L9" s="7">
        <v>1</v>
      </c>
    </row>
    <row r="10" spans="2:12" x14ac:dyDescent="0.3">
      <c r="B10" s="10">
        <v>8</v>
      </c>
      <c r="C10" s="11" t="s">
        <v>18</v>
      </c>
      <c r="D10" s="12">
        <v>128843</v>
      </c>
      <c r="E10" s="13">
        <v>0.56018695652173911</v>
      </c>
      <c r="F10" s="14">
        <f t="shared" si="0"/>
        <v>0.56018695652173911</v>
      </c>
      <c r="G10" s="15">
        <v>7</v>
      </c>
      <c r="H10" s="16">
        <v>20896</v>
      </c>
      <c r="I10" s="17">
        <f t="shared" si="1"/>
        <v>20896</v>
      </c>
      <c r="L10" s="7">
        <v>1</v>
      </c>
    </row>
    <row r="11" spans="2:12" x14ac:dyDescent="0.3">
      <c r="B11" s="10">
        <v>9</v>
      </c>
      <c r="C11" s="11" t="s">
        <v>21</v>
      </c>
      <c r="D11" s="12">
        <v>127722</v>
      </c>
      <c r="E11" s="13">
        <v>0.55531304347826083</v>
      </c>
      <c r="F11" s="14">
        <f t="shared" si="0"/>
        <v>0.55531304347826083</v>
      </c>
      <c r="G11" s="15">
        <v>11</v>
      </c>
      <c r="H11" s="16">
        <v>37743</v>
      </c>
      <c r="I11" s="17">
        <f t="shared" si="1"/>
        <v>37743</v>
      </c>
      <c r="L11" s="7">
        <v>1</v>
      </c>
    </row>
    <row r="12" spans="2:12" x14ac:dyDescent="0.3">
      <c r="B12" s="10">
        <v>10</v>
      </c>
      <c r="C12" s="11" t="s">
        <v>29</v>
      </c>
      <c r="D12" s="12">
        <v>126710</v>
      </c>
      <c r="E12" s="13">
        <v>0.55091304347826087</v>
      </c>
      <c r="F12" s="14">
        <f t="shared" si="0"/>
        <v>0.55091304347826087</v>
      </c>
      <c r="G12" s="15">
        <v>11</v>
      </c>
      <c r="H12" s="16">
        <v>37223</v>
      </c>
      <c r="I12" s="17">
        <f t="shared" si="1"/>
        <v>37223</v>
      </c>
      <c r="L12" s="7">
        <v>1</v>
      </c>
    </row>
    <row r="13" spans="2:12" x14ac:dyDescent="0.3">
      <c r="B13" s="10">
        <v>11</v>
      </c>
      <c r="C13" s="11" t="s">
        <v>13</v>
      </c>
      <c r="D13" s="12">
        <v>110466</v>
      </c>
      <c r="E13" s="13">
        <v>0.48028695652173914</v>
      </c>
      <c r="F13" s="14">
        <f t="shared" si="0"/>
        <v>0.48028695652173914</v>
      </c>
      <c r="G13" s="15">
        <v>-1</v>
      </c>
      <c r="H13" s="16">
        <v>-15578</v>
      </c>
      <c r="I13" s="17">
        <f t="shared" si="1"/>
        <v>-15578</v>
      </c>
      <c r="L13" s="7">
        <v>1</v>
      </c>
    </row>
    <row r="14" spans="2:12" x14ac:dyDescent="0.3">
      <c r="B14" s="10">
        <v>12</v>
      </c>
      <c r="C14" s="11" t="s">
        <v>5</v>
      </c>
      <c r="D14" s="12">
        <v>110406</v>
      </c>
      <c r="E14" s="13">
        <v>0.48002608695652171</v>
      </c>
      <c r="F14" s="14">
        <f t="shared" si="0"/>
        <v>0.48002608695652171</v>
      </c>
      <c r="G14" s="15">
        <v>-11</v>
      </c>
      <c r="H14" s="16">
        <v>-55310</v>
      </c>
      <c r="I14" s="17">
        <f t="shared" si="1"/>
        <v>-55310</v>
      </c>
      <c r="L14" s="7">
        <v>0</v>
      </c>
    </row>
    <row r="15" spans="2:12" x14ac:dyDescent="0.3">
      <c r="B15" s="10">
        <v>13</v>
      </c>
      <c r="C15" s="11" t="s">
        <v>6</v>
      </c>
      <c r="D15" s="12">
        <v>103289</v>
      </c>
      <c r="E15" s="13">
        <v>0.4490826086956522</v>
      </c>
      <c r="F15" s="14">
        <f t="shared" si="0"/>
        <v>0.4490826086956522</v>
      </c>
      <c r="G15" s="15">
        <v>-9</v>
      </c>
      <c r="H15" s="16">
        <v>-56035</v>
      </c>
      <c r="I15" s="17">
        <f t="shared" si="1"/>
        <v>-56035</v>
      </c>
      <c r="L15" s="7">
        <v>0</v>
      </c>
    </row>
    <row r="16" spans="2:12" x14ac:dyDescent="0.3">
      <c r="B16" s="10">
        <v>14</v>
      </c>
      <c r="C16" s="11" t="s">
        <v>22</v>
      </c>
      <c r="D16" s="12">
        <v>101988</v>
      </c>
      <c r="E16" s="13">
        <v>0.44342608695652175</v>
      </c>
      <c r="F16" s="14">
        <f t="shared" si="0"/>
        <v>0.44342608695652175</v>
      </c>
      <c r="G16" s="15">
        <v>3</v>
      </c>
      <c r="H16" s="16">
        <v>-2376</v>
      </c>
      <c r="I16" s="17">
        <f t="shared" si="1"/>
        <v>-2376</v>
      </c>
      <c r="L16" s="7">
        <v>0</v>
      </c>
    </row>
    <row r="17" spans="2:12" x14ac:dyDescent="0.3">
      <c r="B17" s="10">
        <v>15</v>
      </c>
      <c r="C17" s="11" t="s">
        <v>14</v>
      </c>
      <c r="D17" s="12">
        <v>100714</v>
      </c>
      <c r="E17" s="13">
        <v>0.43788695652173915</v>
      </c>
      <c r="F17" s="14">
        <f t="shared" si="0"/>
        <v>0.43788695652173915</v>
      </c>
      <c r="G17" s="15">
        <v>-3</v>
      </c>
      <c r="H17" s="16">
        <v>-21609</v>
      </c>
      <c r="I17" s="17">
        <f t="shared" si="1"/>
        <v>-21609</v>
      </c>
      <c r="L17" s="7">
        <v>1</v>
      </c>
    </row>
    <row r="18" spans="2:12" x14ac:dyDescent="0.3">
      <c r="B18" s="10">
        <v>16</v>
      </c>
      <c r="C18" s="11" t="s">
        <v>7</v>
      </c>
      <c r="D18" s="12">
        <v>98811</v>
      </c>
      <c r="E18" s="13">
        <v>0.42961304347826085</v>
      </c>
      <c r="F18" s="14">
        <f t="shared" si="0"/>
        <v>0.42961304347826085</v>
      </c>
      <c r="G18" s="15">
        <v>-11</v>
      </c>
      <c r="H18" s="16">
        <v>-50228</v>
      </c>
      <c r="I18" s="17">
        <f t="shared" si="1"/>
        <v>-50228</v>
      </c>
      <c r="L18" s="7">
        <v>0</v>
      </c>
    </row>
    <row r="19" spans="2:12" x14ac:dyDescent="0.3">
      <c r="B19" s="10">
        <v>17</v>
      </c>
      <c r="C19" s="11" t="s">
        <v>11</v>
      </c>
      <c r="D19" s="12">
        <v>98236</v>
      </c>
      <c r="E19" s="13">
        <v>0.4271130434782609</v>
      </c>
      <c r="F19" s="14">
        <f t="shared" si="0"/>
        <v>0.4271130434782609</v>
      </c>
      <c r="G19" s="15">
        <v>-8</v>
      </c>
      <c r="H19" s="16">
        <v>-36330</v>
      </c>
      <c r="I19" s="17">
        <f t="shared" si="1"/>
        <v>-36330</v>
      </c>
      <c r="L19" s="7">
        <v>0</v>
      </c>
    </row>
    <row r="20" spans="2:12" x14ac:dyDescent="0.3">
      <c r="B20" s="10">
        <v>18</v>
      </c>
      <c r="C20" s="11" t="s">
        <v>8</v>
      </c>
      <c r="D20" s="12">
        <v>97787</v>
      </c>
      <c r="E20" s="13">
        <v>0.42516086956521743</v>
      </c>
      <c r="F20" s="14">
        <f t="shared" si="0"/>
        <v>0.42516086956521743</v>
      </c>
      <c r="G20" s="15">
        <v>-12</v>
      </c>
      <c r="H20" s="16">
        <v>-48290</v>
      </c>
      <c r="I20" s="17">
        <f t="shared" si="1"/>
        <v>-48290</v>
      </c>
      <c r="L20" s="7">
        <v>0</v>
      </c>
    </row>
    <row r="21" spans="2:12" x14ac:dyDescent="0.3">
      <c r="B21" s="10">
        <v>19</v>
      </c>
      <c r="C21" s="11" t="s">
        <v>20</v>
      </c>
      <c r="D21" s="12">
        <v>87418</v>
      </c>
      <c r="E21" s="13">
        <v>0.3800782608695652</v>
      </c>
      <c r="F21" s="14">
        <f t="shared" si="0"/>
        <v>0.3800782608695652</v>
      </c>
      <c r="G21" s="15">
        <v>0</v>
      </c>
      <c r="H21" s="16">
        <v>-5570</v>
      </c>
      <c r="I21" s="17">
        <f t="shared" si="1"/>
        <v>-5570</v>
      </c>
      <c r="L21" s="7">
        <v>1</v>
      </c>
    </row>
    <row r="22" spans="2:12" x14ac:dyDescent="0.3">
      <c r="B22" s="10">
        <v>20</v>
      </c>
      <c r="C22" s="11" t="s">
        <v>15</v>
      </c>
      <c r="D22" s="12">
        <v>69644</v>
      </c>
      <c r="E22" s="13">
        <v>0.30280000000000001</v>
      </c>
      <c r="F22" s="14">
        <f t="shared" si="0"/>
        <v>0.30280000000000001</v>
      </c>
      <c r="G22" s="15">
        <v>-7</v>
      </c>
      <c r="H22" s="16">
        <v>-43601</v>
      </c>
      <c r="I22" s="17">
        <f t="shared" si="1"/>
        <v>-43601</v>
      </c>
      <c r="L22" s="7">
        <v>1</v>
      </c>
    </row>
    <row r="23" spans="2:12" x14ac:dyDescent="0.3">
      <c r="B23" s="10">
        <v>21</v>
      </c>
      <c r="C23" s="11" t="s">
        <v>9</v>
      </c>
      <c r="D23" s="12">
        <v>62190</v>
      </c>
      <c r="E23" s="13">
        <v>0.2703913043478261</v>
      </c>
      <c r="F23" s="14">
        <f t="shared" si="0"/>
        <v>0.2703913043478261</v>
      </c>
      <c r="G23" s="15">
        <v>-14</v>
      </c>
      <c r="H23" s="16">
        <v>-76476</v>
      </c>
      <c r="I23" s="17">
        <f t="shared" si="1"/>
        <v>-76476</v>
      </c>
      <c r="L23" s="7">
        <v>0</v>
      </c>
    </row>
    <row r="24" spans="2:12" x14ac:dyDescent="0.3">
      <c r="B24" s="10">
        <v>22</v>
      </c>
      <c r="C24" s="11" t="s">
        <v>24</v>
      </c>
      <c r="D24" s="12">
        <v>58258</v>
      </c>
      <c r="E24" s="13">
        <v>0.25329565217391303</v>
      </c>
      <c r="F24" s="14">
        <f t="shared" si="0"/>
        <v>0.25329565217391303</v>
      </c>
      <c r="G24" s="15">
        <v>1</v>
      </c>
      <c r="H24" s="16">
        <v>1501</v>
      </c>
      <c r="I24" s="17">
        <f t="shared" si="1"/>
        <v>1501</v>
      </c>
      <c r="L24" s="7">
        <v>1</v>
      </c>
    </row>
    <row r="25" spans="2:12" x14ac:dyDescent="0.3">
      <c r="B25" s="10">
        <v>23</v>
      </c>
      <c r="C25" s="11" t="s">
        <v>23</v>
      </c>
      <c r="D25" s="12">
        <v>55883</v>
      </c>
      <c r="E25" s="13">
        <v>0.24296956521739133</v>
      </c>
      <c r="F25" s="14">
        <f t="shared" si="0"/>
        <v>0.24296956521739133</v>
      </c>
      <c r="G25" s="15">
        <v>-1</v>
      </c>
      <c r="H25" s="16">
        <v>-4415</v>
      </c>
      <c r="I25" s="17">
        <f t="shared" si="1"/>
        <v>-4415</v>
      </c>
      <c r="L25" s="7">
        <v>0</v>
      </c>
    </row>
  </sheetData>
  <mergeCells count="2">
    <mergeCell ref="E2:F2"/>
    <mergeCell ref="H2:I2"/>
  </mergeCells>
  <conditionalFormatting sqref="F3:F25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{99FBB7CE-F0C6-4807-8C9D-7343D402DCB4}</x14:id>
        </ext>
      </extLst>
    </cfRule>
  </conditionalFormatting>
  <conditionalFormatting sqref="I3:I25">
    <cfRule type="dataBar" priority="3">
      <dataBar showValue="0">
        <cfvo type="min"/>
        <cfvo type="max"/>
        <color rgb="FF92D050"/>
      </dataBar>
      <extLst>
        <ext xmlns:x14="http://schemas.microsoft.com/office/spreadsheetml/2009/9/main" uri="{B025F937-C7B1-47D3-B67F-A62EFF666E3E}">
          <x14:id>{4F97F14E-A28E-44C9-8BD0-D0A945325AB1}</x14:id>
        </ext>
      </extLst>
    </cfRule>
  </conditionalFormatting>
  <pageMargins left="0.7" right="0.7" top="0.75" bottom="0.75" header="0.3" footer="0.3"/>
  <pageSetup paperSize="9" fitToWidth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FBB7CE-F0C6-4807-8C9D-7343D402DCB4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F3:F25</xm:sqref>
        </x14:conditionalFormatting>
        <x14:conditionalFormatting xmlns:xm="http://schemas.microsoft.com/office/excel/2006/main">
          <x14:cfRule type="iconSet" priority="2" id="{03CB08A5-5997-4696-9B37-32E3E2025E83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G3:G25</xm:sqref>
        </x14:conditionalFormatting>
        <x14:conditionalFormatting xmlns:xm="http://schemas.microsoft.com/office/excel/2006/main">
          <x14:cfRule type="dataBar" id="{4F97F14E-A28E-44C9-8BD0-D0A945325A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Opis</vt:lpstr>
      <vt:lpstr>Które jakie</vt:lpstr>
      <vt:lpstr>Wcześniej</vt:lpstr>
      <vt:lpstr>Wyniki</vt:lpstr>
      <vt:lpstr>Wygląd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Danelski</cp:lastModifiedBy>
  <cp:lastPrinted>2026-01-30T21:11:38Z</cp:lastPrinted>
  <dcterms:created xsi:type="dcterms:W3CDTF">2026-01-24T20:19:13Z</dcterms:created>
  <dcterms:modified xsi:type="dcterms:W3CDTF">2026-02-11T19:19:49Z</dcterms:modified>
</cp:coreProperties>
</file>